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Clients\Ranger\Scheduling\"/>
    </mc:Choice>
  </mc:AlternateContent>
  <xr:revisionPtr revIDLastSave="0" documentId="13_ncr:1_{E64B59CE-A3CA-4546-9259-9439BEB62206}" xr6:coauthVersionLast="46" xr6:coauthVersionMax="46" xr10:uidLastSave="{00000000-0000-0000-0000-000000000000}"/>
  <bookViews>
    <workbookView xWindow="-96" yWindow="-96" windowWidth="23232" windowHeight="12552" xr2:uid="{C51D2B1B-F9DB-4ACF-927E-991271A87C35}"/>
  </bookViews>
  <sheets>
    <sheet name="Input_Data" sheetId="9" r:id="rId1"/>
    <sheet name="Line_Details" sheetId="5" r:id="rId2"/>
    <sheet name="Workstation_Allocation" sheetId="17" r:id="rId3"/>
    <sheet name="Allocation_Graph" sheetId="16" r:id="rId4"/>
    <sheet name="Output" sheetId="15" r:id="rId5"/>
    <sheet name="Example_1" sheetId="8" r:id="rId6"/>
    <sheet name="Example_1_Alt" sheetId="21" r:id="rId7"/>
    <sheet name="Example_2" sheetId="10" r:id="rId8"/>
    <sheet name="Example_3" sheetId="12" r:id="rId9"/>
    <sheet name="Sheet2" sheetId="14" state="hidden" r:id="rId10"/>
    <sheet name="Colors" sheetId="13" state="hidden" r:id="rId11"/>
  </sheets>
  <definedNames>
    <definedName name="_xlnm._FilterDatabase" localSheetId="10" hidden="1">Colors!$A$1:$C$120</definedName>
    <definedName name="_xlnm._FilterDatabase" localSheetId="5" hidden="1">Example_1!$B$4:$G$69</definedName>
    <definedName name="_xlnm._FilterDatabase" localSheetId="6" hidden="1">Example_1_Alt!$B$4:$G$58</definedName>
    <definedName name="_xlnm._FilterDatabase" localSheetId="7" hidden="1">Example_2!$B$4:$G$16</definedName>
    <definedName name="_xlnm._FilterDatabase" localSheetId="8" hidden="1">Example_3!$B$4:$G$8</definedName>
    <definedName name="_xlnm._FilterDatabase" localSheetId="1" hidden="1">Line_Details!$B$4:$G$58</definedName>
    <definedName name="_xlnm._FilterDatabase" localSheetId="9" hidden="1">Sheet2!$A$1:$M$338</definedName>
    <definedName name="ExternalData_1" localSheetId="2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5" l="1"/>
  <c r="C5" i="15"/>
  <c r="C18" i="9" l="1"/>
  <c r="C11" i="9" l="1"/>
  <c r="C7" i="9"/>
  <c r="C12" i="9" l="1"/>
  <c r="C13" i="9" s="1"/>
  <c r="C14" i="9"/>
  <c r="C16" i="9" l="1"/>
  <c r="C17" i="9" s="1"/>
  <c r="C15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<sst xmlns="http://schemas.openxmlformats.org/spreadsheetml/2006/main" count="2129" uniqueCount="1108">
  <si>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</si>
  <si>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</si>
  <si>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</si>
  <si>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</si>
  <si>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</si>
  <si>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</si>
  <si>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</si>
  <si>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</si>
  <si>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</si>
  <si>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</si>
  <si>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</si>
  <si>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</si>
  <si>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</si>
  <si>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</si>
  <si>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</si>
  <si>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</si>
  <si>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</si>
  <si>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</si>
  <si>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</si>
  <si>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</si>
  <si>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</si>
  <si>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</si>
  <si>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</si>
  <si>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</si>
  <si>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</si>
  <si>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</si>
  <si>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</si>
  <si>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</si>
  <si>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</si>
  <si>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</si>
  <si>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</si>
  <si>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</si>
  <si>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</si>
  <si>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</si>
  <si>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</si>
  <si>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</si>
  <si>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</si>
  <si>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</si>
  <si>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</si>
  <si>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</si>
  <si>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</si>
  <si>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</si>
  <si>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</si>
  <si>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</si>
  <si>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</si>
  <si>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</si>
  <si>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</si>
  <si>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</si>
  <si>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</si>
  <si>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</si>
  <si>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</si>
  <si>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</si>
  <si>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</si>
  <si>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</si>
  <si>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</si>
  <si>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</si>
  <si>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</si>
  <si>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</si>
  <si>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</si>
  <si>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</si>
  <si>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</si>
  <si>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</si>
  <si>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</si>
  <si>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</si>
  <si>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</si>
  <si>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</si>
  <si>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</si>
  <si>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</si>
  <si>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</si>
  <si>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</si>
  <si>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</si>
  <si>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</si>
  <si>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</si>
  <si>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</si>
  <si>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</si>
  <si>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</si>
  <si>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</si>
  <si>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</si>
  <si>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</si>
  <si>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</si>
  <si>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</si>
  <si>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</si>
  <si>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</si>
  <si>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</si>
  <si>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</si>
  <si>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</si>
  <si>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</si>
  <si>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</si>
  <si>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</si>
  <si>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</si>
  <si>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</si>
  <si>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</si>
  <si>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</si>
  <si>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</si>
  <si>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</si>
  <si>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</si>
  <si>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</si>
  <si>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</si>
  <si>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</si>
  <si>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</si>
  <si>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</si>
  <si>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</si>
  <si>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</si>
  <si>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</si>
  <si>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</si>
  <si>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</si>
  <si>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</si>
  <si>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</si>
  <si>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</si>
  <si>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</si>
  <si>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</si>
  <si>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</si>
  <si>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</si>
  <si>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 xml:space="preserve">Shoulder sewing </t>
  </si>
  <si>
    <t xml:space="preserve">4 thread overlock machine </t>
  </si>
  <si>
    <t xml:space="preserve">Collar inseam </t>
  </si>
  <si>
    <t xml:space="preserve">Lock – stitch sewing machine </t>
  </si>
  <si>
    <t xml:space="preserve">Collar sewing </t>
  </si>
  <si>
    <t xml:space="preserve">Neck label sewing </t>
  </si>
  <si>
    <t xml:space="preserve">Neck binding sewing </t>
  </si>
  <si>
    <t xml:space="preserve">Chain stitch sewing machine </t>
  </si>
  <si>
    <t xml:space="preserve">Binding control – regulated </t>
  </si>
  <si>
    <t xml:space="preserve">Hand-made </t>
  </si>
  <si>
    <t xml:space="preserve">Sleeve sewing </t>
  </si>
  <si>
    <t xml:space="preserve">Care label preparing </t>
  </si>
  <si>
    <t xml:space="preserve">Side seam </t>
  </si>
  <si>
    <t xml:space="preserve">Sleeve hem cover seem </t>
  </si>
  <si>
    <t xml:space="preserve">Blade cover stitch machine </t>
  </si>
  <si>
    <t xml:space="preserve">Sleeve hem reinforcement </t>
  </si>
  <si>
    <t xml:space="preserve">Hem cover seam </t>
  </si>
  <si>
    <t xml:space="preserve">Hem reinforcement </t>
  </si>
  <si>
    <t xml:space="preserve">Flag label sewing </t>
  </si>
  <si>
    <t xml:space="preserve">Ironing </t>
  </si>
  <si>
    <t xml:space="preserve">Iron </t>
  </si>
  <si>
    <t>1,2</t>
  </si>
  <si>
    <t>7,8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</si>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</sst>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6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9" fontId="1" fillId="0" borderId="0" xfId="0" applyNumberFormat="1" applyFont="1"/>
    <xf numFmtId="0" fontId="1" fillId="0" borderId="335" xfId="0" applyFont="1" applyBorder="1" applyAlignment="1">
      <alignment vertical="center"/>
    </xf>
    <xf numFmtId="0" fontId="1" fillId="0" borderId="336" xfId="0" applyFont="1" applyBorder="1" applyAlignment="1">
      <alignment horizontal="center" vertical="center"/>
    </xf>
    <xf numFmtId="0" fontId="1" fillId="0" borderId="337" xfId="0" applyFont="1" applyBorder="1" applyAlignment="1">
      <alignment vertical="center"/>
    </xf>
    <xf numFmtId="0" fontId="1" fillId="0" borderId="338" xfId="0" applyFont="1" applyBorder="1" applyAlignment="1">
      <alignment horizontal="center" vertical="center"/>
    </xf>
    <xf numFmtId="0" fontId="1" fillId="0" borderId="338" xfId="0" applyFont="1" applyBorder="1" applyAlignment="1">
      <alignment vertical="center"/>
    </xf>
    <xf numFmtId="15" fontId="1" fillId="0" borderId="338" xfId="0" applyNumberFormat="1" applyFont="1" applyBorder="1" applyAlignment="1">
      <alignment vertical="center"/>
    </xf>
    <xf numFmtId="1" fontId="1" fillId="0" borderId="338" xfId="0" applyNumberFormat="1" applyFont="1" applyBorder="1" applyAlignment="1">
      <alignment vertical="center"/>
    </xf>
    <xf numFmtId="0" fontId="1" fillId="0" borderId="337" xfId="0" applyFont="1" applyFill="1" applyBorder="1" applyAlignment="1">
      <alignment vertical="center"/>
    </xf>
    <xf numFmtId="1" fontId="1" fillId="0" borderId="338" xfId="0" applyNumberFormat="1" applyFont="1" applyFill="1" applyBorder="1" applyAlignment="1">
      <alignment vertical="center"/>
    </xf>
    <xf numFmtId="2" fontId="1" fillId="0" borderId="338" xfId="0" applyNumberFormat="1" applyFont="1" applyFill="1" applyBorder="1" applyAlignment="1">
      <alignment vertical="center"/>
    </xf>
    <xf numFmtId="0" fontId="1" fillId="0" borderId="338" xfId="0" applyFont="1" applyFill="1" applyBorder="1" applyAlignment="1">
      <alignment vertical="center"/>
    </xf>
    <xf numFmtId="0" fontId="3" fillId="3" borderId="337" xfId="0" applyFont="1" applyFill="1" applyBorder="1" applyAlignment="1">
      <alignment vertical="center" wrapText="1"/>
    </xf>
    <xf numFmtId="2" fontId="3" fillId="3" borderId="338" xfId="0" applyNumberFormat="1" applyFont="1" applyFill="1" applyBorder="1" applyAlignment="1">
      <alignment vertical="center"/>
    </xf>
    <xf numFmtId="0" fontId="1" fillId="0" borderId="339" xfId="0" applyFont="1" applyBorder="1"/>
    <xf numFmtId="0" fontId="1" fillId="0" borderId="340" xfId="0" applyFont="1" applyBorder="1"/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2" fontId="1" fillId="0" borderId="0" xfId="0" applyNumberFormat="1" applyFont="1"/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21" Type="http://schemas.openxmlformats.org/officeDocument/2006/relationships/hyperlink" Target="https://en.wikipedia.org/wiki/Amaranth_(color)" TargetMode="External"/><Relationship Id="rId63" Type="http://schemas.openxmlformats.org/officeDocument/2006/relationships/hyperlink" Target="https://en.wikipedia.org/wiki/Beige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170" Type="http://schemas.openxmlformats.org/officeDocument/2006/relationships/hyperlink" Target="https://en.wikipedia.org/wiki/Cerulean" TargetMode="External"/><Relationship Id="rId226" Type="http://schemas.openxmlformats.org/officeDocument/2006/relationships/hyperlink" Target="https://en.wikipedia.org/wiki/List_of_Crayola_crayon_colors" TargetMode="External"/><Relationship Id="rId268" Type="http://schemas.openxmlformats.org/officeDocument/2006/relationships/hyperlink" Target="https://en.wikipedia.org/wiki/Jungle_green" TargetMode="External"/><Relationship Id="rId32" Type="http://schemas.openxmlformats.org/officeDocument/2006/relationships/hyperlink" Target="https://en.wikipedia.org/wiki/Fuchsia_(color)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181" Type="http://schemas.openxmlformats.org/officeDocument/2006/relationships/hyperlink" Target="https://en.wikipedia.org/wiki/Shades_of_pink" TargetMode="External"/><Relationship Id="rId237" Type="http://schemas.openxmlformats.org/officeDocument/2006/relationships/hyperlink" Target="https://en.wikipedia.org/wiki/Electric_blue_(color)" TargetMode="External"/><Relationship Id="rId279" Type="http://schemas.openxmlformats.org/officeDocument/2006/relationships/hyperlink" Target="https://en.wikipedia.org/wiki/Dodger_blue" TargetMode="External"/><Relationship Id="rId43" Type="http://schemas.openxmlformats.org/officeDocument/2006/relationships/hyperlink" Target="https://en.wikipedia.org/wiki/Arylide_yellow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48" Type="http://schemas.openxmlformats.org/officeDocument/2006/relationships/hyperlink" Target="https://en.wikipedia.org/wiki/Olive_(color)" TargetMode="External"/><Relationship Id="rId12" Type="http://schemas.openxmlformats.org/officeDocument/2006/relationships/hyperlink" Target="https://en.wikipedia.org/wiki/Air_Force_blue" TargetMode="External"/><Relationship Id="rId108" Type="http://schemas.openxmlformats.org/officeDocument/2006/relationships/hyperlink" Target="https://en.wikipedia.org/wiki/Shades_of_brown" TargetMode="External"/><Relationship Id="rId315" Type="http://schemas.openxmlformats.org/officeDocument/2006/relationships/hyperlink" Target="https://en.wikipedia.org/wiki/Desert_sand_(color)" TargetMode="External"/><Relationship Id="rId54" Type="http://schemas.openxmlformats.org/officeDocument/2006/relationships/hyperlink" Target="https://en.wikipedia.org/wiki/Shades_of_pink" TargetMode="External"/><Relationship Id="rId96" Type="http://schemas.openxmlformats.org/officeDocument/2006/relationships/hyperlink" Target="https://en.wikipedia.org/wiki/Blue-green" TargetMode="External"/><Relationship Id="rId161" Type="http://schemas.openxmlformats.org/officeDocument/2006/relationships/hyperlink" Target="https://en.wikipedia.org/wiki/List_of_Crayola_crayon_colors" TargetMode="External"/><Relationship Id="rId217" Type="http://schemas.openxmlformats.org/officeDocument/2006/relationships/hyperlink" Target="https://en.wikipedia.org/wiki/Shades_of_white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326" Type="http://schemas.openxmlformats.org/officeDocument/2006/relationships/hyperlink" Target="https://en.wikipedia.org/wiki/Shades_of_green" TargetMode="External"/><Relationship Id="rId65" Type="http://schemas.openxmlformats.org/officeDocument/2006/relationships/hyperlink" Target="https://en.wikipedia.org/wiki/Ruby_(color)" TargetMode="External"/><Relationship Id="rId130" Type="http://schemas.openxmlformats.org/officeDocument/2006/relationships/hyperlink" Target="https://en.wikipedia.org/wiki/Byzantium_(color)" TargetMode="External"/><Relationship Id="rId172" Type="http://schemas.openxmlformats.org/officeDocument/2006/relationships/hyperlink" Target="https://en.wikipedia.org/wiki/CG_Blue" TargetMode="External"/><Relationship Id="rId228" Type="http://schemas.openxmlformats.org/officeDocument/2006/relationships/hyperlink" Target="https://en.wikipedia.org/wiki/Cyan" TargetMode="External"/><Relationship Id="rId281" Type="http://schemas.openxmlformats.org/officeDocument/2006/relationships/hyperlink" Target="https://en.wikipedia.org/wiki/Desert_sand_(color)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83" Type="http://schemas.openxmlformats.org/officeDocument/2006/relationships/hyperlink" Target="https://en.wikipedia.org/wiki/Shades_of_red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45" Type="http://schemas.openxmlformats.org/officeDocument/2006/relationships/hyperlink" Target="https://en.wikipedia.org/wiki/Shades_of_green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7" Type="http://schemas.openxmlformats.org/officeDocument/2006/relationships/hyperlink" Target="https://en.wikipedia.org/wiki/Fallow_(color)" TargetMode="External"/><Relationship Id="rId328" Type="http://schemas.openxmlformats.org/officeDocument/2006/relationships/hyperlink" Target="https://en.wikipedia.org/wiki/Beige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220" Type="http://schemas.openxmlformats.org/officeDocument/2006/relationships/hyperlink" Target="https://en.wikipedia.org/wiki/Coyote_brown" TargetMode="External"/><Relationship Id="rId241" Type="http://schemas.openxmlformats.org/officeDocument/2006/relationships/hyperlink" Target="https://en.wikipedia.org/wiki/Jungle_green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78" Type="http://schemas.openxmlformats.org/officeDocument/2006/relationships/hyperlink" Target="https://en.wikipedia.org/wiki/Olive_(color)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64" Type="http://schemas.openxmlformats.org/officeDocument/2006/relationships/hyperlink" Target="https://en.wikipedia.org/wiki/Shades_of_green" TargetMode="External"/><Relationship Id="rId185" Type="http://schemas.openxmlformats.org/officeDocument/2006/relationships/hyperlink" Target="https://en.wikipedia.org/wiki/Rose_(color)" TargetMode="External"/><Relationship Id="rId9" Type="http://schemas.openxmlformats.org/officeDocument/2006/relationships/hyperlink" Target="https://en.wikipedia.org/wiki/HSL_and_HSV" TargetMode="External"/><Relationship Id="rId210" Type="http://schemas.openxmlformats.org/officeDocument/2006/relationships/hyperlink" Target="https://en.wikipedia.org/wiki/Coquelicot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302" Type="http://schemas.openxmlformats.org/officeDocument/2006/relationships/hyperlink" Target="https://en.wikipedia.org/wiki/Indian_red_(color)" TargetMode="External"/><Relationship Id="rId323" Type="http://schemas.openxmlformats.org/officeDocument/2006/relationships/hyperlink" Target="https://en.wikipedia.org/wiki/Shades_of_whit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179" Type="http://schemas.openxmlformats.org/officeDocument/2006/relationships/hyperlink" Target="https://en.wikipedia.org/wiki/Chartreuse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5" Type="http://schemas.openxmlformats.org/officeDocument/2006/relationships/hyperlink" Target="https://en.wikipedia.org/wiki/Crystal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313" Type="http://schemas.openxmlformats.org/officeDocument/2006/relationships/hyperlink" Target="https://en.wikipedia.org/wiki/Shades_of_green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94" Type="http://schemas.openxmlformats.org/officeDocument/2006/relationships/hyperlink" Target="https://en.wikipedia.org/wiki/Blue-gray" TargetMode="External"/><Relationship Id="rId148" Type="http://schemas.openxmlformats.org/officeDocument/2006/relationships/hyperlink" Target="https://en.wikipedia.org/wiki/Candy_apple_red" TargetMode="External"/><Relationship Id="rId169" Type="http://schemas.openxmlformats.org/officeDocument/2006/relationships/hyperlink" Target="https://en.wikipedia.org/wiki/Cerulean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180" Type="http://schemas.openxmlformats.org/officeDocument/2006/relationships/hyperlink" Target="https://en.wikipedia.org/wiki/Chartreuse_(color)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303" Type="http://schemas.openxmlformats.org/officeDocument/2006/relationships/hyperlink" Target="https://en.wikipedia.org/wiki/List_of_Crayola_crayon_colors" TargetMode="External"/><Relationship Id="rId42" Type="http://schemas.openxmlformats.org/officeDocument/2006/relationships/hyperlink" Target="https://en.wikipedia.org/wiki/Shades_of_green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345" Type="http://schemas.openxmlformats.org/officeDocument/2006/relationships/hyperlink" Target="https://en.wikipedia.org/wiki/Fulvous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53" Type="http://schemas.openxmlformats.org/officeDocument/2006/relationships/hyperlink" Target="https://en.wikipedia.org/wiki/Baby_blue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216" Type="http://schemas.openxmlformats.org/officeDocument/2006/relationships/hyperlink" Target="https://en.wikipedia.org/wiki/Cornflower_blue" TargetMode="External"/><Relationship Id="rId258" Type="http://schemas.openxmlformats.org/officeDocument/2006/relationships/hyperlink" Target="https://en.wikipedia.org/wiki/X11_color_names" TargetMode="External"/><Relationship Id="rId22" Type="http://schemas.openxmlformats.org/officeDocument/2006/relationships/hyperlink" Target="https://en.wikipedia.org/wiki/Amaranth_(color)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325" Type="http://schemas.openxmlformats.org/officeDocument/2006/relationships/hyperlink" Target="https://en.wikipedia.org/wiki/Shades_of_green" TargetMode="External"/><Relationship Id="rId171" Type="http://schemas.openxmlformats.org/officeDocument/2006/relationships/hyperlink" Target="https://en.wikipedia.org/wiki/Cerulean" TargetMode="External"/><Relationship Id="rId227" Type="http://schemas.openxmlformats.org/officeDocument/2006/relationships/hyperlink" Target="https://en.wikipedia.org/wiki/Cyan" TargetMode="External"/><Relationship Id="rId269" Type="http://schemas.openxmlformats.org/officeDocument/2006/relationships/hyperlink" Target="https://en.wikipedia.org/wiki/Shades_of_pink" TargetMode="External"/><Relationship Id="rId33" Type="http://schemas.openxmlformats.org/officeDocument/2006/relationships/hyperlink" Target="https://en.wikipedia.org/wiki/Ruby_(color)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36" Type="http://schemas.openxmlformats.org/officeDocument/2006/relationships/hyperlink" Target="https://en.wikipedia.org/wiki/Raspberry_(color)" TargetMode="External"/><Relationship Id="rId75" Type="http://schemas.openxmlformats.org/officeDocument/2006/relationships/hyperlink" Target="https://en.wikipedia.org/wiki/Shades_of_black" TargetMode="External"/><Relationship Id="rId140" Type="http://schemas.openxmlformats.org/officeDocument/2006/relationships/hyperlink" Target="https://en.wikipedia.org/wiki/Coffee_(color)" TargetMode="External"/><Relationship Id="rId182" Type="http://schemas.openxmlformats.org/officeDocument/2006/relationships/hyperlink" Target="https://en.wikipedia.org/wiki/Chestnut_(color)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44" Type="http://schemas.openxmlformats.org/officeDocument/2006/relationships/hyperlink" Target="https://en.wikipedia.org/wiki/Shades_of_gray" TargetMode="External"/><Relationship Id="rId86" Type="http://schemas.openxmlformats.org/officeDocument/2006/relationships/hyperlink" Target="https://en.wikipedia.org/wiki/Blue" TargetMode="External"/><Relationship Id="rId151" Type="http://schemas.openxmlformats.org/officeDocument/2006/relationships/hyperlink" Target="https://en.wikipedia.org/wiki/Cardinal_(color)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316" Type="http://schemas.openxmlformats.org/officeDocument/2006/relationships/hyperlink" Target="https://en.wikipedia.org/wiki/List_of_Crayola_crayon_colors" TargetMode="External"/><Relationship Id="rId55" Type="http://schemas.openxmlformats.org/officeDocument/2006/relationships/hyperlink" Target="https://en.wikipedia.org/wiki/Shades_of_white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62" Type="http://schemas.openxmlformats.org/officeDocument/2006/relationships/hyperlink" Target="https://en.wikipedia.org/wiki/Shades_of_green" TargetMode="External"/><Relationship Id="rId218" Type="http://schemas.openxmlformats.org/officeDocument/2006/relationships/hyperlink" Target="https://en.wikipedia.org/wiki/List_of_Crayola_crayon_colors" TargetMode="External"/><Relationship Id="rId271" Type="http://schemas.openxmlformats.org/officeDocument/2006/relationships/hyperlink" Target="https://en.wikipedia.org/wiki/Sky_blue" TargetMode="External"/><Relationship Id="rId24" Type="http://schemas.openxmlformats.org/officeDocument/2006/relationships/hyperlink" Target="https://en.wikipedia.org/wiki/Amaranth_(color)" TargetMode="External"/><Relationship Id="rId66" Type="http://schemas.openxmlformats.org/officeDocument/2006/relationships/hyperlink" Target="https://en.wikipedia.org/wiki/X11_color_names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73" Type="http://schemas.openxmlformats.org/officeDocument/2006/relationships/hyperlink" Target="https://en.wikipedia.org/wiki/CG_Red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04F23-E558-4326-A44A-64241EA7B100}">
  <sheetPr codeName="Sheet1"/>
  <dimension ref="A2:F36"/>
  <sheetViews>
    <sheetView showGridLines="0" tabSelected="1" workbookViewId="0">
      <selection activeCell="A22" sqref="A22"/>
    </sheetView>
  </sheetViews>
  <sheetFormatPr defaultColWidth="0" defaultRowHeight="13.8" x14ac:dyDescent="0.45"/>
  <cols>
    <col min="1" max="1" width="2.64453125" style="1" customWidth="1"/>
    <col min="2" max="3" width="45.64453125" style="1" customWidth="1"/>
    <col min="4" max="4" width="2.64453125" style="1" customWidth="1"/>
    <col min="5" max="6" width="0" style="1" hidden="1" customWidth="1"/>
    <col min="7" max="16384" width="8.9375" style="1" hidden="1"/>
  </cols>
  <sheetData>
    <row r="2" spans="2:3" ht="14.7" x14ac:dyDescent="0.6">
      <c r="B2" s="393" t="s">
        <v>987</v>
      </c>
      <c r="C2" s="393"/>
    </row>
    <row r="3" spans="2:3" ht="14.1" thickBot="1" x14ac:dyDescent="0.5"/>
    <row r="4" spans="2:3" ht="14.4" thickTop="1" thickBot="1" x14ac:dyDescent="0.5">
      <c r="B4" s="355" t="s">
        <v>99</v>
      </c>
      <c r="C4" s="351" t="s">
        <v>112</v>
      </c>
    </row>
    <row r="5" spans="2:3" ht="14.1" thickTop="1" x14ac:dyDescent="0.45">
      <c r="B5" s="359" t="s">
        <v>985</v>
      </c>
      <c r="C5" s="360" t="s">
        <v>1011</v>
      </c>
    </row>
    <row r="6" spans="2:3" x14ac:dyDescent="0.45">
      <c r="B6" s="361" t="s">
        <v>986</v>
      </c>
      <c r="C6" s="362" t="s">
        <v>1012</v>
      </c>
    </row>
    <row r="7" spans="2:3" x14ac:dyDescent="0.45">
      <c r="B7" s="361" t="s">
        <v>100</v>
      </c>
      <c r="C7" s="363">
        <f>8*60</f>
        <v>480</v>
      </c>
    </row>
    <row r="8" spans="2:3" x14ac:dyDescent="0.45">
      <c r="B8" s="361" t="s">
        <v>102</v>
      </c>
      <c r="C8" s="363">
        <v>49000</v>
      </c>
    </row>
    <row r="9" spans="2:3" x14ac:dyDescent="0.45">
      <c r="B9" s="361" t="s">
        <v>103</v>
      </c>
      <c r="C9" s="364">
        <v>44317</v>
      </c>
    </row>
    <row r="10" spans="2:3" x14ac:dyDescent="0.45">
      <c r="B10" s="361" t="s">
        <v>104</v>
      </c>
      <c r="C10" s="364">
        <v>44347</v>
      </c>
    </row>
    <row r="11" spans="2:3" x14ac:dyDescent="0.45">
      <c r="B11" s="361" t="s">
        <v>105</v>
      </c>
      <c r="C11" s="365">
        <f>(_xlfn.DAYS(C10,C9)+1)</f>
        <v>31</v>
      </c>
    </row>
    <row r="12" spans="2:3" x14ac:dyDescent="0.45">
      <c r="B12" s="366" t="s">
        <v>106</v>
      </c>
      <c r="C12" s="367">
        <f>ROUND(C8/C11,0)</f>
        <v>1581</v>
      </c>
    </row>
    <row r="13" spans="2:3" x14ac:dyDescent="0.45">
      <c r="B13" s="366" t="s">
        <v>107</v>
      </c>
      <c r="C13" s="368">
        <f>C7/C12</f>
        <v>0.30360531309297911</v>
      </c>
    </row>
    <row r="14" spans="2:3" x14ac:dyDescent="0.45">
      <c r="B14" s="366" t="s">
        <v>101</v>
      </c>
      <c r="C14" s="369">
        <f>MAX(Line_Details!$F:$F)</f>
        <v>1.819</v>
      </c>
    </row>
    <row r="15" spans="2:3" x14ac:dyDescent="0.45">
      <c r="B15" s="366" t="s">
        <v>108</v>
      </c>
      <c r="C15" s="369">
        <f>ROUND(C7/C14,0)</f>
        <v>264</v>
      </c>
    </row>
    <row r="16" spans="2:3" x14ac:dyDescent="0.45">
      <c r="B16" s="370" t="s">
        <v>109</v>
      </c>
      <c r="C16" s="371">
        <f>MAX(C13,C14)</f>
        <v>1.819</v>
      </c>
    </row>
    <row r="17" spans="2:3" x14ac:dyDescent="0.45">
      <c r="B17" s="361" t="s">
        <v>111</v>
      </c>
      <c r="C17" s="363">
        <f>ROUNDUP(SUM(Line_Details!$F:$F)/C16,0)</f>
        <v>23</v>
      </c>
    </row>
    <row r="18" spans="2:3" ht="14.1" thickBot="1" x14ac:dyDescent="0.5">
      <c r="B18" s="372" t="s">
        <v>110</v>
      </c>
      <c r="C18" s="373">
        <f>MAX(Line_Details!$B:$B)</f>
        <v>54</v>
      </c>
    </row>
    <row r="19" spans="2:3" ht="14.1" thickTop="1" x14ac:dyDescent="0.45"/>
    <row r="25" spans="2:3" x14ac:dyDescent="0.45">
      <c r="B25" s="358"/>
    </row>
    <row r="33" s="1" customFormat="1" x14ac:dyDescent="0.45"/>
    <row r="34" s="1" customFormat="1" x14ac:dyDescent="0.45"/>
    <row r="35" s="1" customFormat="1" x14ac:dyDescent="0.45"/>
    <row r="36" s="1" customFormat="1" x14ac:dyDescent="0.45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/>
  </sheetViews>
  <sheetFormatPr defaultColWidth="0"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8.46875" style="1" bestFit="1" customWidth="1"/>
    <col min="5" max="7" width="21.1171875" style="1" bestFit="1" customWidth="1"/>
    <col min="8" max="9" width="8.9375" style="1" customWidth="1"/>
    <col min="10" max="10" width="0" style="1" hidden="1" customWidth="1"/>
    <col min="11" max="16384" width="8.9375" style="1" hidden="1"/>
  </cols>
  <sheetData>
    <row r="1" spans="2:7" x14ac:dyDescent="0.45">
      <c r="B1" s="2"/>
      <c r="C1" s="2"/>
      <c r="D1" s="2"/>
    </row>
    <row r="2" spans="2:7" ht="14.7" x14ac:dyDescent="0.6">
      <c r="B2" s="393" t="s">
        <v>988</v>
      </c>
      <c r="C2" s="393"/>
      <c r="D2" s="393"/>
      <c r="E2" s="393"/>
      <c r="F2" s="393"/>
      <c r="G2" s="393"/>
    </row>
    <row r="3" spans="2:7" x14ac:dyDescent="0.45">
      <c r="F3" s="7"/>
    </row>
    <row r="4" spans="2:7" x14ac:dyDescent="0.45">
      <c r="B4" s="391" t="s">
        <v>93</v>
      </c>
      <c r="C4" s="391" t="s">
        <v>94</v>
      </c>
      <c r="D4" s="391" t="s">
        <v>3</v>
      </c>
      <c r="E4" s="391" t="s">
        <v>1</v>
      </c>
      <c r="F4" s="391" t="s">
        <v>95</v>
      </c>
      <c r="G4" s="391" t="s">
        <v>2</v>
      </c>
    </row>
    <row r="5" spans="2:7" x14ac:dyDescent="0.45">
      <c r="B5" s="374">
        <v>1</v>
      </c>
      <c r="C5" s="392" t="s">
        <v>4</v>
      </c>
      <c r="D5" s="392" t="s">
        <v>5</v>
      </c>
      <c r="E5" s="374">
        <v>0</v>
      </c>
      <c r="F5" s="374">
        <v>0.315</v>
      </c>
      <c r="G5" s="374">
        <v>1</v>
      </c>
    </row>
    <row r="6" spans="2:7" x14ac:dyDescent="0.45">
      <c r="B6" s="374">
        <v>2</v>
      </c>
      <c r="C6" s="392" t="s">
        <v>6</v>
      </c>
      <c r="D6" s="392" t="s">
        <v>7</v>
      </c>
      <c r="E6" s="374" t="s">
        <v>994</v>
      </c>
      <c r="F6" s="374">
        <v>0.28299999999999997</v>
      </c>
      <c r="G6" s="374">
        <v>1</v>
      </c>
    </row>
    <row r="7" spans="2:7" ht="27.6" x14ac:dyDescent="0.45">
      <c r="B7" s="374">
        <v>3</v>
      </c>
      <c r="C7" s="392" t="s">
        <v>1090</v>
      </c>
      <c r="D7" s="392" t="s">
        <v>9</v>
      </c>
      <c r="E7" s="374" t="s">
        <v>996</v>
      </c>
      <c r="F7" s="374">
        <v>1.4630000000000001</v>
      </c>
      <c r="G7" s="374">
        <v>4</v>
      </c>
    </row>
    <row r="8" spans="2:7" x14ac:dyDescent="0.45">
      <c r="B8" s="374">
        <v>4</v>
      </c>
      <c r="C8" s="392" t="s">
        <v>10</v>
      </c>
      <c r="D8" s="392" t="s">
        <v>11</v>
      </c>
      <c r="E8" s="374">
        <v>0</v>
      </c>
      <c r="F8" s="374">
        <v>0.35199999999999998</v>
      </c>
      <c r="G8" s="374">
        <v>1</v>
      </c>
    </row>
    <row r="9" spans="2:7" x14ac:dyDescent="0.45">
      <c r="B9" s="374">
        <v>5</v>
      </c>
      <c r="C9" s="392" t="s">
        <v>12</v>
      </c>
      <c r="D9" s="392" t="s">
        <v>13</v>
      </c>
      <c r="E9" s="374" t="s">
        <v>997</v>
      </c>
      <c r="F9" s="374">
        <v>0.19800000000000001</v>
      </c>
      <c r="G9" s="374">
        <v>1</v>
      </c>
    </row>
    <row r="10" spans="2:7" ht="27.6" x14ac:dyDescent="0.45">
      <c r="B10" s="374">
        <v>6</v>
      </c>
      <c r="C10" s="392" t="s">
        <v>1091</v>
      </c>
      <c r="D10" s="392" t="s">
        <v>9</v>
      </c>
      <c r="E10" s="374" t="s">
        <v>83</v>
      </c>
      <c r="F10" s="374">
        <v>1.2679999999999998</v>
      </c>
      <c r="G10" s="374">
        <v>3</v>
      </c>
    </row>
    <row r="11" spans="2:7" x14ac:dyDescent="0.45">
      <c r="B11" s="374">
        <v>7</v>
      </c>
      <c r="C11" s="392" t="s">
        <v>1094</v>
      </c>
      <c r="D11" s="392" t="s">
        <v>9</v>
      </c>
      <c r="E11" s="374" t="s">
        <v>1037</v>
      </c>
      <c r="F11" s="374">
        <v>1.2769999999999999</v>
      </c>
      <c r="G11" s="374">
        <v>3</v>
      </c>
    </row>
    <row r="12" spans="2:7" x14ac:dyDescent="0.45">
      <c r="B12" s="374">
        <v>8</v>
      </c>
      <c r="C12" s="392" t="s">
        <v>1095</v>
      </c>
      <c r="D12" s="392" t="s">
        <v>20</v>
      </c>
      <c r="E12" s="374" t="s">
        <v>1000</v>
      </c>
      <c r="F12" s="374">
        <v>0.58699999999999997</v>
      </c>
      <c r="G12" s="374">
        <v>1</v>
      </c>
    </row>
    <row r="13" spans="2:7" x14ac:dyDescent="0.45">
      <c r="B13" s="374">
        <v>9</v>
      </c>
      <c r="C13" s="392" t="s">
        <v>22</v>
      </c>
      <c r="D13" s="392" t="s">
        <v>20</v>
      </c>
      <c r="E13" s="374">
        <v>0</v>
      </c>
      <c r="F13" s="374">
        <v>1.3560000000000001</v>
      </c>
      <c r="G13" s="374">
        <v>3</v>
      </c>
    </row>
    <row r="14" spans="2:7" x14ac:dyDescent="0.45">
      <c r="B14" s="374">
        <v>10</v>
      </c>
      <c r="C14" s="392" t="s">
        <v>24</v>
      </c>
      <c r="D14" s="392" t="s">
        <v>25</v>
      </c>
      <c r="E14" s="374" t="s">
        <v>1102</v>
      </c>
      <c r="F14" s="374">
        <v>0.247</v>
      </c>
      <c r="G14" s="374">
        <v>1</v>
      </c>
    </row>
    <row r="15" spans="2:7" x14ac:dyDescent="0.45">
      <c r="B15" s="374">
        <v>11</v>
      </c>
      <c r="C15" s="392" t="s">
        <v>27</v>
      </c>
      <c r="D15" s="392" t="s">
        <v>20</v>
      </c>
      <c r="E15" s="374">
        <v>0</v>
      </c>
      <c r="F15" s="374">
        <v>0.216</v>
      </c>
      <c r="G15" s="374">
        <v>1</v>
      </c>
    </row>
    <row r="16" spans="2:7" x14ac:dyDescent="0.45">
      <c r="B16" s="374">
        <v>12</v>
      </c>
      <c r="C16" s="392" t="s">
        <v>28</v>
      </c>
      <c r="D16" s="392" t="s">
        <v>5</v>
      </c>
      <c r="E16" s="374" t="s">
        <v>1004</v>
      </c>
      <c r="F16" s="374">
        <v>0.187</v>
      </c>
      <c r="G16" s="374">
        <v>1</v>
      </c>
    </row>
    <row r="17" spans="2:7" x14ac:dyDescent="0.45">
      <c r="B17" s="374">
        <v>13</v>
      </c>
      <c r="C17" s="392" t="s">
        <v>29</v>
      </c>
      <c r="D17" s="392" t="s">
        <v>9</v>
      </c>
      <c r="E17" s="374" t="s">
        <v>1005</v>
      </c>
      <c r="F17" s="374">
        <v>0.33100000000000002</v>
      </c>
      <c r="G17" s="374">
        <v>2</v>
      </c>
    </row>
    <row r="18" spans="2:7" x14ac:dyDescent="0.45">
      <c r="B18" s="374">
        <v>14</v>
      </c>
      <c r="C18" s="392" t="s">
        <v>30</v>
      </c>
      <c r="D18" s="392" t="s">
        <v>31</v>
      </c>
      <c r="E18" s="374" t="s">
        <v>1006</v>
      </c>
      <c r="F18" s="374">
        <v>0.24</v>
      </c>
      <c r="G18" s="374">
        <v>2</v>
      </c>
    </row>
    <row r="19" spans="2:7" x14ac:dyDescent="0.45">
      <c r="B19" s="374">
        <v>15</v>
      </c>
      <c r="C19" s="392" t="s">
        <v>32</v>
      </c>
      <c r="D19" s="392" t="s">
        <v>9</v>
      </c>
      <c r="E19" s="374" t="s">
        <v>1007</v>
      </c>
      <c r="F19" s="374">
        <v>0.42099999999999999</v>
      </c>
      <c r="G19" s="374">
        <v>2</v>
      </c>
    </row>
    <row r="20" spans="2:7" ht="27.6" x14ac:dyDescent="0.45">
      <c r="B20" s="374">
        <v>16</v>
      </c>
      <c r="C20" s="392" t="s">
        <v>1096</v>
      </c>
      <c r="D20" s="392" t="s">
        <v>20</v>
      </c>
      <c r="E20" s="374" t="s">
        <v>1000</v>
      </c>
      <c r="F20" s="374">
        <v>1.194</v>
      </c>
      <c r="G20" s="374">
        <v>3</v>
      </c>
    </row>
    <row r="21" spans="2:7" x14ac:dyDescent="0.45">
      <c r="B21" s="374">
        <v>17</v>
      </c>
      <c r="C21" s="392" t="s">
        <v>37</v>
      </c>
      <c r="D21" s="392" t="s">
        <v>13</v>
      </c>
      <c r="E21" s="374" t="s">
        <v>1103</v>
      </c>
      <c r="F21" s="374">
        <v>1.5309999999999999</v>
      </c>
      <c r="G21" s="374">
        <v>4</v>
      </c>
    </row>
    <row r="22" spans="2:7" x14ac:dyDescent="0.45">
      <c r="B22" s="374">
        <v>18</v>
      </c>
      <c r="C22" s="392" t="s">
        <v>38</v>
      </c>
      <c r="D22" s="392" t="s">
        <v>39</v>
      </c>
      <c r="E22" s="374" t="s">
        <v>1015</v>
      </c>
      <c r="F22" s="374">
        <v>1.091</v>
      </c>
      <c r="G22" s="374">
        <v>3</v>
      </c>
    </row>
    <row r="23" spans="2:7" x14ac:dyDescent="0.45">
      <c r="B23" s="374">
        <v>19</v>
      </c>
      <c r="C23" s="392" t="s">
        <v>40</v>
      </c>
      <c r="D23" s="392" t="s">
        <v>20</v>
      </c>
      <c r="E23" s="374" t="s">
        <v>1016</v>
      </c>
      <c r="F23" s="374">
        <v>0.36199999999999999</v>
      </c>
      <c r="G23" s="374">
        <v>1</v>
      </c>
    </row>
    <row r="24" spans="2:7" x14ac:dyDescent="0.45">
      <c r="B24" s="374">
        <v>20</v>
      </c>
      <c r="C24" s="392" t="s">
        <v>41</v>
      </c>
      <c r="D24" s="392" t="s">
        <v>20</v>
      </c>
      <c r="E24" s="374">
        <v>0</v>
      </c>
      <c r="F24" s="374">
        <v>0.23499999999999999</v>
      </c>
      <c r="G24" s="374">
        <v>1</v>
      </c>
    </row>
    <row r="25" spans="2:7" x14ac:dyDescent="0.45">
      <c r="B25" s="374">
        <v>21</v>
      </c>
      <c r="C25" s="392" t="s">
        <v>42</v>
      </c>
      <c r="D25" s="392" t="s">
        <v>9</v>
      </c>
      <c r="E25" s="374" t="s">
        <v>1014</v>
      </c>
      <c r="F25" s="374">
        <v>1.163</v>
      </c>
      <c r="G25" s="374">
        <v>3</v>
      </c>
    </row>
    <row r="26" spans="2:7" x14ac:dyDescent="0.45">
      <c r="B26" s="374">
        <v>22</v>
      </c>
      <c r="C26" s="392" t="s">
        <v>43</v>
      </c>
      <c r="D26" s="392" t="s">
        <v>9</v>
      </c>
      <c r="E26" s="374" t="s">
        <v>1020</v>
      </c>
      <c r="F26" s="374">
        <v>0.55800000000000005</v>
      </c>
      <c r="G26" s="374">
        <v>2</v>
      </c>
    </row>
    <row r="27" spans="2:7" x14ac:dyDescent="0.45">
      <c r="B27" s="374">
        <v>23</v>
      </c>
      <c r="C27" s="392" t="s">
        <v>44</v>
      </c>
      <c r="D27" s="392" t="s">
        <v>45</v>
      </c>
      <c r="E27" s="374" t="s">
        <v>1021</v>
      </c>
      <c r="F27" s="374">
        <v>0.23799999999999999</v>
      </c>
      <c r="G27" s="374">
        <v>1</v>
      </c>
    </row>
    <row r="28" spans="2:7" x14ac:dyDescent="0.45">
      <c r="B28" s="374">
        <v>24</v>
      </c>
      <c r="C28" s="392" t="s">
        <v>47</v>
      </c>
      <c r="D28" s="392" t="s">
        <v>48</v>
      </c>
      <c r="E28" s="374" t="s">
        <v>1024</v>
      </c>
      <c r="F28" s="374">
        <v>1.6519999999999999</v>
      </c>
      <c r="G28" s="374">
        <v>4</v>
      </c>
    </row>
    <row r="29" spans="2:7" x14ac:dyDescent="0.45">
      <c r="B29" s="374">
        <v>25</v>
      </c>
      <c r="C29" s="392" t="s">
        <v>49</v>
      </c>
      <c r="D29" s="392" t="s">
        <v>9</v>
      </c>
      <c r="E29" s="374" t="s">
        <v>1104</v>
      </c>
      <c r="F29" s="374">
        <v>1.2509999999999999</v>
      </c>
      <c r="G29" s="374">
        <v>3</v>
      </c>
    </row>
    <row r="30" spans="2:7" x14ac:dyDescent="0.45">
      <c r="B30" s="374">
        <v>26</v>
      </c>
      <c r="C30" s="392" t="s">
        <v>51</v>
      </c>
      <c r="D30" s="392" t="s">
        <v>5</v>
      </c>
      <c r="E30" s="374" t="s">
        <v>1019</v>
      </c>
      <c r="F30" s="374">
        <v>0.20200000000000001</v>
      </c>
      <c r="G30" s="374">
        <v>1</v>
      </c>
    </row>
    <row r="31" spans="2:7" ht="27.6" x14ac:dyDescent="0.45">
      <c r="B31" s="374">
        <v>27</v>
      </c>
      <c r="C31" s="392" t="s">
        <v>1092</v>
      </c>
      <c r="D31" s="392" t="s">
        <v>13</v>
      </c>
      <c r="E31" s="374" t="s">
        <v>1003</v>
      </c>
      <c r="F31" s="374">
        <v>1.2610000000000001</v>
      </c>
      <c r="G31" s="374">
        <v>3</v>
      </c>
    </row>
    <row r="32" spans="2:7" x14ac:dyDescent="0.45">
      <c r="B32" s="374">
        <v>28</v>
      </c>
      <c r="C32" s="392" t="s">
        <v>1093</v>
      </c>
      <c r="D32" s="392" t="s">
        <v>9</v>
      </c>
      <c r="E32" s="374" t="s">
        <v>1105</v>
      </c>
      <c r="F32" s="374">
        <v>1.431</v>
      </c>
      <c r="G32" s="374">
        <v>3</v>
      </c>
    </row>
    <row r="33" spans="2:7" ht="27.6" x14ac:dyDescent="0.45">
      <c r="B33" s="374">
        <v>29</v>
      </c>
      <c r="C33" s="392" t="s">
        <v>1097</v>
      </c>
      <c r="D33" s="392" t="s">
        <v>9</v>
      </c>
      <c r="E33" s="374" t="s">
        <v>1106</v>
      </c>
      <c r="F33" s="374">
        <v>1.4910000000000001</v>
      </c>
      <c r="G33" s="374">
        <v>3</v>
      </c>
    </row>
    <row r="34" spans="2:7" x14ac:dyDescent="0.45">
      <c r="B34" s="374">
        <v>30</v>
      </c>
      <c r="C34" s="392" t="s">
        <v>53</v>
      </c>
      <c r="D34" s="392" t="s">
        <v>31</v>
      </c>
      <c r="E34" s="374" t="s">
        <v>1024</v>
      </c>
      <c r="F34" s="374">
        <v>0.34899999999999998</v>
      </c>
      <c r="G34" s="374">
        <v>1</v>
      </c>
    </row>
    <row r="35" spans="2:7" x14ac:dyDescent="0.45">
      <c r="B35" s="374">
        <v>31</v>
      </c>
      <c r="C35" s="392" t="s">
        <v>54</v>
      </c>
      <c r="D35" s="392" t="s">
        <v>9</v>
      </c>
      <c r="E35" s="374" t="s">
        <v>1025</v>
      </c>
      <c r="F35" s="374">
        <v>0.39200000000000002</v>
      </c>
      <c r="G35" s="374">
        <v>1</v>
      </c>
    </row>
    <row r="36" spans="2:7" x14ac:dyDescent="0.45">
      <c r="B36" s="374">
        <v>32</v>
      </c>
      <c r="C36" s="392" t="s">
        <v>55</v>
      </c>
      <c r="D36" s="392" t="s">
        <v>9</v>
      </c>
      <c r="E36" s="374" t="s">
        <v>1107</v>
      </c>
      <c r="F36" s="374">
        <v>1.7210000000000001</v>
      </c>
      <c r="G36" s="374">
        <v>4</v>
      </c>
    </row>
    <row r="37" spans="2:7" x14ac:dyDescent="0.45">
      <c r="B37" s="374">
        <v>33</v>
      </c>
      <c r="C37" s="392" t="s">
        <v>56</v>
      </c>
      <c r="D37" s="392" t="s">
        <v>57</v>
      </c>
      <c r="E37" s="374" t="s">
        <v>1028</v>
      </c>
      <c r="F37" s="374">
        <v>1.56</v>
      </c>
      <c r="G37" s="374">
        <v>3</v>
      </c>
    </row>
    <row r="38" spans="2:7" x14ac:dyDescent="0.45">
      <c r="B38" s="374">
        <v>34</v>
      </c>
      <c r="C38" s="392" t="s">
        <v>58</v>
      </c>
      <c r="D38" s="392" t="s">
        <v>13</v>
      </c>
      <c r="E38" s="374" t="s">
        <v>1033</v>
      </c>
      <c r="F38" s="374">
        <v>0.65800000000000003</v>
      </c>
      <c r="G38" s="374">
        <v>2</v>
      </c>
    </row>
    <row r="39" spans="2:7" x14ac:dyDescent="0.45">
      <c r="B39" s="374">
        <v>35</v>
      </c>
      <c r="C39" s="392" t="s">
        <v>59</v>
      </c>
      <c r="D39" s="392" t="s">
        <v>60</v>
      </c>
      <c r="E39" s="374" t="s">
        <v>1034</v>
      </c>
      <c r="F39" s="374">
        <v>0.57599999999999996</v>
      </c>
      <c r="G39" s="374">
        <v>2</v>
      </c>
    </row>
    <row r="40" spans="2:7" x14ac:dyDescent="0.45">
      <c r="B40" s="374">
        <v>36</v>
      </c>
      <c r="C40" s="392" t="s">
        <v>61</v>
      </c>
      <c r="D40" s="392" t="s">
        <v>20</v>
      </c>
      <c r="E40" s="374">
        <v>0</v>
      </c>
      <c r="F40" s="374">
        <v>7.5999999999999998E-2</v>
      </c>
      <c r="G40" s="374">
        <v>1</v>
      </c>
    </row>
    <row r="41" spans="2:7" x14ac:dyDescent="0.45">
      <c r="B41" s="374">
        <v>37</v>
      </c>
      <c r="C41" s="392" t="s">
        <v>62</v>
      </c>
      <c r="D41" s="392" t="s">
        <v>9</v>
      </c>
      <c r="E41" s="374" t="s">
        <v>1030</v>
      </c>
      <c r="F41" s="374">
        <v>0.26</v>
      </c>
      <c r="G41" s="374">
        <v>2</v>
      </c>
    </row>
    <row r="42" spans="2:7" x14ac:dyDescent="0.45">
      <c r="B42" s="374">
        <v>38</v>
      </c>
      <c r="C42" s="392" t="s">
        <v>63</v>
      </c>
      <c r="D42" s="392" t="s">
        <v>31</v>
      </c>
      <c r="E42" s="374" t="s">
        <v>1031</v>
      </c>
      <c r="F42" s="374">
        <v>0.151</v>
      </c>
      <c r="G42" s="374">
        <v>1</v>
      </c>
    </row>
    <row r="43" spans="2:7" x14ac:dyDescent="0.45">
      <c r="B43" s="374">
        <v>39</v>
      </c>
      <c r="C43" s="392" t="s">
        <v>64</v>
      </c>
      <c r="D43" s="392" t="s">
        <v>9</v>
      </c>
      <c r="E43" s="374" t="s">
        <v>1035</v>
      </c>
      <c r="F43" s="374">
        <v>0.23300000000000001</v>
      </c>
      <c r="G43" s="374">
        <v>2</v>
      </c>
    </row>
    <row r="44" spans="2:7" x14ac:dyDescent="0.45">
      <c r="B44" s="374">
        <v>40</v>
      </c>
      <c r="C44" s="392" t="s">
        <v>65</v>
      </c>
      <c r="D44" s="392" t="s">
        <v>5</v>
      </c>
      <c r="E44" s="374" t="s">
        <v>1036</v>
      </c>
      <c r="F44" s="374">
        <v>9.5000000000000001E-2</v>
      </c>
      <c r="G44" s="374">
        <v>1</v>
      </c>
    </row>
    <row r="45" spans="2:7" x14ac:dyDescent="0.45">
      <c r="B45" s="374">
        <v>41</v>
      </c>
      <c r="C45" s="392" t="s">
        <v>66</v>
      </c>
      <c r="D45" s="392" t="s">
        <v>67</v>
      </c>
      <c r="E45" s="374">
        <v>0</v>
      </c>
      <c r="F45" s="374">
        <v>0.14899999999999999</v>
      </c>
      <c r="G45" s="374">
        <v>1</v>
      </c>
    </row>
    <row r="46" spans="2:7" x14ac:dyDescent="0.45">
      <c r="B46" s="374">
        <v>42</v>
      </c>
      <c r="C46" s="392" t="s">
        <v>68</v>
      </c>
      <c r="D46" s="392" t="s">
        <v>9</v>
      </c>
      <c r="E46" s="374" t="s">
        <v>1100</v>
      </c>
      <c r="F46" s="374">
        <v>1.819</v>
      </c>
      <c r="G46" s="374">
        <v>4</v>
      </c>
    </row>
    <row r="47" spans="2:7" x14ac:dyDescent="0.45">
      <c r="B47" s="374">
        <v>43</v>
      </c>
      <c r="C47" s="392" t="s">
        <v>69</v>
      </c>
      <c r="D47" s="392" t="s">
        <v>9</v>
      </c>
      <c r="E47" s="374" t="s">
        <v>1041</v>
      </c>
      <c r="F47" s="374">
        <v>1.129</v>
      </c>
      <c r="G47" s="374">
        <v>3</v>
      </c>
    </row>
    <row r="48" spans="2:7" x14ac:dyDescent="0.45">
      <c r="B48" s="374">
        <v>44</v>
      </c>
      <c r="C48" s="392" t="s">
        <v>70</v>
      </c>
      <c r="D48" s="392" t="s">
        <v>9</v>
      </c>
      <c r="E48" s="374" t="s">
        <v>1046</v>
      </c>
      <c r="F48" s="374">
        <v>1.474</v>
      </c>
      <c r="G48" s="374">
        <v>4</v>
      </c>
    </row>
    <row r="49" spans="2:7" x14ac:dyDescent="0.45">
      <c r="B49" s="374">
        <v>45</v>
      </c>
      <c r="C49" s="392" t="s">
        <v>71</v>
      </c>
      <c r="D49" s="392" t="s">
        <v>9</v>
      </c>
      <c r="E49" s="374" t="s">
        <v>1047</v>
      </c>
      <c r="F49" s="374">
        <v>1.6850000000000001</v>
      </c>
      <c r="G49" s="374">
        <v>4</v>
      </c>
    </row>
    <row r="50" spans="2:7" x14ac:dyDescent="0.45">
      <c r="B50" s="374">
        <v>46</v>
      </c>
      <c r="C50" s="392" t="s">
        <v>72</v>
      </c>
      <c r="D50" s="392" t="s">
        <v>13</v>
      </c>
      <c r="E50" s="374" t="s">
        <v>1017</v>
      </c>
      <c r="F50" s="374">
        <v>0.54800000000000004</v>
      </c>
      <c r="G50" s="374">
        <v>1</v>
      </c>
    </row>
    <row r="51" spans="2:7" x14ac:dyDescent="0.45">
      <c r="B51" s="374">
        <v>47</v>
      </c>
      <c r="C51" s="392" t="s">
        <v>1098</v>
      </c>
      <c r="D51" s="392" t="s">
        <v>20</v>
      </c>
      <c r="E51" s="374" t="s">
        <v>1018</v>
      </c>
      <c r="F51" s="374">
        <v>0.497</v>
      </c>
      <c r="G51" s="374">
        <v>1</v>
      </c>
    </row>
    <row r="52" spans="2:7" x14ac:dyDescent="0.45">
      <c r="B52" s="374">
        <v>48</v>
      </c>
      <c r="C52" s="392" t="s">
        <v>74</v>
      </c>
      <c r="D52" s="392" t="s">
        <v>39</v>
      </c>
      <c r="E52" s="374" t="s">
        <v>1042</v>
      </c>
      <c r="F52" s="374">
        <v>0.67100000000000004</v>
      </c>
      <c r="G52" s="374">
        <v>1</v>
      </c>
    </row>
    <row r="53" spans="2:7" x14ac:dyDescent="0.45">
      <c r="B53" s="374">
        <v>49</v>
      </c>
      <c r="C53" s="392" t="s">
        <v>76</v>
      </c>
      <c r="D53" s="392" t="s">
        <v>9</v>
      </c>
      <c r="E53" s="374" t="s">
        <v>1101</v>
      </c>
      <c r="F53" s="374">
        <v>1.252</v>
      </c>
      <c r="G53" s="374">
        <v>3</v>
      </c>
    </row>
    <row r="54" spans="2:7" x14ac:dyDescent="0.45">
      <c r="B54" s="374">
        <v>50</v>
      </c>
      <c r="C54" s="392" t="s">
        <v>77</v>
      </c>
      <c r="D54" s="392" t="s">
        <v>5</v>
      </c>
      <c r="E54" s="374" t="s">
        <v>1044</v>
      </c>
      <c r="F54" s="374">
        <v>0.52300000000000002</v>
      </c>
      <c r="G54" s="374">
        <v>1</v>
      </c>
    </row>
    <row r="55" spans="2:7" ht="27.6" x14ac:dyDescent="0.45">
      <c r="B55" s="374">
        <v>51</v>
      </c>
      <c r="C55" s="392" t="s">
        <v>1099</v>
      </c>
      <c r="D55" s="392" t="s">
        <v>9</v>
      </c>
      <c r="E55" s="374" t="s">
        <v>1048</v>
      </c>
      <c r="F55" s="374">
        <v>0.85199999999999998</v>
      </c>
      <c r="G55" s="374">
        <v>1</v>
      </c>
    </row>
    <row r="56" spans="2:7" x14ac:dyDescent="0.45">
      <c r="B56" s="374">
        <v>52</v>
      </c>
      <c r="C56" s="392" t="s">
        <v>80</v>
      </c>
      <c r="D56" s="392" t="s">
        <v>20</v>
      </c>
      <c r="E56" s="374" t="s">
        <v>1045</v>
      </c>
      <c r="F56" s="374">
        <v>0.88400000000000001</v>
      </c>
      <c r="G56" s="374">
        <v>1</v>
      </c>
    </row>
    <row r="57" spans="2:7" x14ac:dyDescent="0.45">
      <c r="B57" s="374">
        <v>53</v>
      </c>
      <c r="C57" s="392" t="s">
        <v>81</v>
      </c>
      <c r="D57" s="392" t="s">
        <v>9</v>
      </c>
      <c r="E57" s="374" t="s">
        <v>1049</v>
      </c>
      <c r="F57" s="374">
        <v>0.91300000000000003</v>
      </c>
      <c r="G57" s="374">
        <v>2</v>
      </c>
    </row>
    <row r="58" spans="2:7" x14ac:dyDescent="0.45">
      <c r="B58" s="374">
        <v>54</v>
      </c>
      <c r="C58" s="392" t="s">
        <v>82</v>
      </c>
      <c r="D58" s="392" t="s">
        <v>57</v>
      </c>
      <c r="E58" s="374" t="s">
        <v>1050</v>
      </c>
      <c r="F58" s="374">
        <v>0.89500000000000002</v>
      </c>
      <c r="G58" s="374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workbookViewId="0"/>
  </sheetViews>
  <sheetFormatPr defaultColWidth="0" defaultRowHeight="14.1" x14ac:dyDescent="0.5"/>
  <cols>
    <col min="1" max="1" width="2.64453125" customWidth="1"/>
    <col min="2" max="2" width="21.1171875" bestFit="1" customWidth="1"/>
    <col min="3" max="3" width="36.17578125" bestFit="1" customWidth="1"/>
    <col min="4" max="4" width="28.46875" bestFit="1" customWidth="1"/>
    <col min="5" max="7" width="21.1171875" bestFit="1" customWidth="1"/>
    <col min="8" max="8" width="2.64453125" customWidth="1"/>
    <col min="9" max="16384" width="8.9375" hidden="1"/>
  </cols>
  <sheetData>
    <row r="2" spans="2:9" ht="14.7" x14ac:dyDescent="0.6">
      <c r="B2" s="394" t="s">
        <v>1010</v>
      </c>
      <c r="C2" s="394"/>
      <c r="D2" s="394"/>
      <c r="E2" s="394"/>
      <c r="F2" s="394"/>
      <c r="G2" s="394"/>
    </row>
    <row r="4" spans="2:9" x14ac:dyDescent="0.5">
      <c r="B4" s="382" t="s">
        <v>93</v>
      </c>
      <c r="C4" s="383" t="s">
        <v>94</v>
      </c>
      <c r="D4" s="383" t="s">
        <v>3</v>
      </c>
      <c r="E4" s="384" t="s">
        <v>95</v>
      </c>
      <c r="F4" s="384" t="s">
        <v>992</v>
      </c>
      <c r="G4" s="385" t="s">
        <v>993</v>
      </c>
      <c r="H4" s="380"/>
      <c r="I4" s="380"/>
    </row>
    <row r="5" spans="2:9" x14ac:dyDescent="0.5">
      <c r="B5" s="374" t="s">
        <v>997</v>
      </c>
      <c r="C5" s="386" t="s">
        <v>10</v>
      </c>
      <c r="D5" s="386" t="s">
        <v>11</v>
      </c>
      <c r="E5" s="374">
        <v>0.35199999999999998</v>
      </c>
      <c r="F5" s="374" t="s">
        <v>998</v>
      </c>
      <c r="G5" s="374">
        <v>1</v>
      </c>
      <c r="H5" s="380"/>
      <c r="I5" s="380"/>
    </row>
    <row r="6" spans="2:9" x14ac:dyDescent="0.5">
      <c r="B6" s="374" t="s">
        <v>1013</v>
      </c>
      <c r="C6" s="386" t="s">
        <v>29</v>
      </c>
      <c r="D6" s="386" t="s">
        <v>9</v>
      </c>
      <c r="E6" s="374">
        <v>0.33100000000000002</v>
      </c>
      <c r="F6" s="374" t="s">
        <v>1014</v>
      </c>
      <c r="G6" s="374">
        <v>1</v>
      </c>
      <c r="H6" s="380"/>
      <c r="I6" s="380"/>
    </row>
    <row r="7" spans="2:9" x14ac:dyDescent="0.5">
      <c r="B7" s="374" t="s">
        <v>994</v>
      </c>
      <c r="C7" s="386" t="s">
        <v>4</v>
      </c>
      <c r="D7" s="386" t="s">
        <v>5</v>
      </c>
      <c r="E7" s="374">
        <v>0.315</v>
      </c>
      <c r="F7" s="374" t="s">
        <v>996</v>
      </c>
      <c r="G7" s="374">
        <v>1</v>
      </c>
      <c r="H7" s="380"/>
      <c r="I7" s="380"/>
    </row>
    <row r="8" spans="2:9" x14ac:dyDescent="0.5">
      <c r="B8" s="374" t="s">
        <v>996</v>
      </c>
      <c r="C8" s="386" t="s">
        <v>6</v>
      </c>
      <c r="D8" s="386" t="s">
        <v>7</v>
      </c>
      <c r="E8" s="374">
        <v>0.28299999999999997</v>
      </c>
      <c r="F8" s="374" t="s">
        <v>995</v>
      </c>
      <c r="G8" s="374">
        <v>1</v>
      </c>
      <c r="H8" s="380"/>
      <c r="I8" s="380"/>
    </row>
    <row r="9" spans="2:9" x14ac:dyDescent="0.5">
      <c r="B9" s="374" t="s">
        <v>1015</v>
      </c>
      <c r="C9" s="386" t="s">
        <v>27</v>
      </c>
      <c r="D9" s="386" t="s">
        <v>20</v>
      </c>
      <c r="E9" s="374">
        <v>0.216</v>
      </c>
      <c r="F9" s="374" t="s">
        <v>1016</v>
      </c>
      <c r="G9" s="374">
        <v>1</v>
      </c>
      <c r="H9" s="380"/>
      <c r="I9" s="380"/>
    </row>
    <row r="10" spans="2:9" x14ac:dyDescent="0.5">
      <c r="B10" s="374" t="s">
        <v>1016</v>
      </c>
      <c r="C10" s="386" t="s">
        <v>28</v>
      </c>
      <c r="D10" s="386" t="s">
        <v>5</v>
      </c>
      <c r="E10" s="374">
        <v>0.187</v>
      </c>
      <c r="F10" s="374" t="s">
        <v>1013</v>
      </c>
      <c r="G10" s="374">
        <v>1</v>
      </c>
      <c r="H10" s="380"/>
      <c r="I10" s="380"/>
    </row>
    <row r="11" spans="2:9" x14ac:dyDescent="0.5">
      <c r="B11" s="374" t="s">
        <v>1017</v>
      </c>
      <c r="C11" s="386" t="s">
        <v>61</v>
      </c>
      <c r="D11" s="386" t="s">
        <v>20</v>
      </c>
      <c r="E11" s="374">
        <v>7.5999999999999998E-2</v>
      </c>
      <c r="F11" s="374" t="s">
        <v>1018</v>
      </c>
      <c r="G11" s="374">
        <v>1</v>
      </c>
      <c r="H11" s="380"/>
      <c r="I11" s="380"/>
    </row>
    <row r="12" spans="2:9" x14ac:dyDescent="0.5">
      <c r="B12" s="381"/>
      <c r="C12" s="387" t="s">
        <v>1089</v>
      </c>
      <c r="D12" s="387"/>
      <c r="E12" s="381">
        <v>1.76</v>
      </c>
      <c r="F12" s="381"/>
      <c r="G12" s="381"/>
      <c r="H12" s="380"/>
      <c r="I12" s="380"/>
    </row>
    <row r="13" spans="2:9" x14ac:dyDescent="0.5">
      <c r="B13" s="374" t="s">
        <v>1006</v>
      </c>
      <c r="C13" s="386" t="s">
        <v>22</v>
      </c>
      <c r="D13" s="386" t="s">
        <v>20</v>
      </c>
      <c r="E13" s="374">
        <v>1.3560000000000001</v>
      </c>
      <c r="F13" s="374" t="s">
        <v>1008</v>
      </c>
      <c r="G13" s="374">
        <v>2</v>
      </c>
      <c r="H13" s="380"/>
      <c r="I13" s="380"/>
    </row>
    <row r="14" spans="2:9" x14ac:dyDescent="0.5">
      <c r="B14" s="381"/>
      <c r="C14" s="387" t="s">
        <v>1088</v>
      </c>
      <c r="D14" s="387"/>
      <c r="E14" s="381">
        <v>1.3560000000000001</v>
      </c>
      <c r="F14" s="381"/>
      <c r="G14" s="381"/>
      <c r="H14" s="380"/>
      <c r="I14" s="380"/>
    </row>
    <row r="15" spans="2:9" x14ac:dyDescent="0.5">
      <c r="B15" s="374" t="s">
        <v>995</v>
      </c>
      <c r="C15" s="386" t="s">
        <v>8</v>
      </c>
      <c r="D15" s="386" t="s">
        <v>9</v>
      </c>
      <c r="E15" s="374">
        <v>0.92900000000000005</v>
      </c>
      <c r="F15" s="374" t="s">
        <v>1000</v>
      </c>
      <c r="G15" s="374">
        <v>3</v>
      </c>
      <c r="H15" s="380"/>
      <c r="I15" s="380"/>
    </row>
    <row r="16" spans="2:9" x14ac:dyDescent="0.5">
      <c r="B16" s="374" t="s">
        <v>1007</v>
      </c>
      <c r="C16" s="386" t="s">
        <v>23</v>
      </c>
      <c r="D16" s="386" t="s">
        <v>9</v>
      </c>
      <c r="E16" s="374">
        <v>0.53400000000000003</v>
      </c>
      <c r="F16" s="374" t="s">
        <v>1008</v>
      </c>
      <c r="G16" s="374">
        <v>3</v>
      </c>
      <c r="H16" s="380"/>
      <c r="I16" s="380"/>
    </row>
    <row r="17" spans="2:9" x14ac:dyDescent="0.5">
      <c r="B17" s="374" t="s">
        <v>998</v>
      </c>
      <c r="C17" s="386" t="s">
        <v>12</v>
      </c>
      <c r="D17" s="386" t="s">
        <v>13</v>
      </c>
      <c r="E17" s="374">
        <v>0.19800000000000001</v>
      </c>
      <c r="F17" s="374" t="s">
        <v>1000</v>
      </c>
      <c r="G17" s="374">
        <v>3</v>
      </c>
      <c r="H17" s="380"/>
      <c r="I17" s="380"/>
    </row>
    <row r="18" spans="2:9" x14ac:dyDescent="0.5">
      <c r="B18" s="381"/>
      <c r="C18" s="387" t="s">
        <v>1087</v>
      </c>
      <c r="D18" s="387"/>
      <c r="E18" s="381">
        <v>1.661</v>
      </c>
      <c r="F18" s="381"/>
      <c r="G18" s="381"/>
      <c r="H18" s="380"/>
      <c r="I18" s="380"/>
    </row>
    <row r="19" spans="2:9" x14ac:dyDescent="0.5">
      <c r="B19" s="374" t="s">
        <v>1002</v>
      </c>
      <c r="C19" s="386" t="s">
        <v>16</v>
      </c>
      <c r="D19" s="386" t="s">
        <v>9</v>
      </c>
      <c r="E19" s="374">
        <v>0.69099999999999995</v>
      </c>
      <c r="F19" s="374" t="s">
        <v>1001</v>
      </c>
      <c r="G19" s="374">
        <v>4</v>
      </c>
      <c r="H19" s="380"/>
      <c r="I19" s="380"/>
    </row>
    <row r="20" spans="2:9" x14ac:dyDescent="0.5">
      <c r="B20" s="374" t="s">
        <v>1000</v>
      </c>
      <c r="C20" s="386" t="s">
        <v>15</v>
      </c>
      <c r="D20" s="386" t="s">
        <v>9</v>
      </c>
      <c r="E20" s="374">
        <v>0.57699999999999996</v>
      </c>
      <c r="F20" s="374" t="s">
        <v>1002</v>
      </c>
      <c r="G20" s="374">
        <v>4</v>
      </c>
      <c r="H20" s="380"/>
      <c r="I20" s="380"/>
    </row>
    <row r="21" spans="2:9" x14ac:dyDescent="0.5">
      <c r="B21" s="374" t="s">
        <v>1008</v>
      </c>
      <c r="C21" s="386" t="s">
        <v>24</v>
      </c>
      <c r="D21" s="386" t="s">
        <v>25</v>
      </c>
      <c r="E21" s="374">
        <v>0.247</v>
      </c>
      <c r="F21" s="374" t="s">
        <v>1019</v>
      </c>
      <c r="G21" s="374">
        <v>4</v>
      </c>
      <c r="H21" s="380"/>
      <c r="I21" s="380"/>
    </row>
    <row r="22" spans="2:9" x14ac:dyDescent="0.5">
      <c r="B22" s="374" t="s">
        <v>1014</v>
      </c>
      <c r="C22" s="386" t="s">
        <v>30</v>
      </c>
      <c r="D22" s="386" t="s">
        <v>31</v>
      </c>
      <c r="E22" s="374">
        <v>0.24</v>
      </c>
      <c r="F22" s="374" t="s">
        <v>1020</v>
      </c>
      <c r="G22" s="374">
        <v>4</v>
      </c>
      <c r="H22" s="380"/>
      <c r="I22" s="380"/>
    </row>
    <row r="23" spans="2:9" x14ac:dyDescent="0.5">
      <c r="B23" s="381"/>
      <c r="C23" s="387" t="s">
        <v>1086</v>
      </c>
      <c r="D23" s="387"/>
      <c r="E23" s="381">
        <v>1.7549999999999997</v>
      </c>
      <c r="F23" s="381"/>
      <c r="G23" s="381"/>
      <c r="H23" s="380"/>
      <c r="I23" s="380"/>
    </row>
    <row r="24" spans="2:9" x14ac:dyDescent="0.5">
      <c r="B24" s="374" t="s">
        <v>1019</v>
      </c>
      <c r="C24" s="386" t="s">
        <v>26</v>
      </c>
      <c r="D24" s="386" t="s">
        <v>13</v>
      </c>
      <c r="E24" s="374">
        <v>0.92700000000000005</v>
      </c>
      <c r="F24" s="374" t="s">
        <v>1021</v>
      </c>
      <c r="G24" s="374">
        <v>5</v>
      </c>
      <c r="H24" s="380"/>
      <c r="I24" s="380"/>
    </row>
    <row r="25" spans="2:9" x14ac:dyDescent="0.5">
      <c r="B25" s="374" t="s">
        <v>1020</v>
      </c>
      <c r="C25" s="386" t="s">
        <v>32</v>
      </c>
      <c r="D25" s="386" t="s">
        <v>9</v>
      </c>
      <c r="E25" s="374">
        <v>0.42099999999999999</v>
      </c>
      <c r="F25" s="374" t="s">
        <v>1021</v>
      </c>
      <c r="G25" s="374">
        <v>5</v>
      </c>
      <c r="H25" s="380"/>
      <c r="I25" s="380"/>
    </row>
    <row r="26" spans="2:9" x14ac:dyDescent="0.5">
      <c r="B26" s="374" t="s">
        <v>999</v>
      </c>
      <c r="C26" s="386" t="s">
        <v>14</v>
      </c>
      <c r="D26" s="386" t="s">
        <v>13</v>
      </c>
      <c r="E26" s="374">
        <v>0.33400000000000002</v>
      </c>
      <c r="F26" s="374" t="s">
        <v>1001</v>
      </c>
      <c r="G26" s="374">
        <v>5</v>
      </c>
      <c r="H26" s="380"/>
      <c r="I26" s="380"/>
    </row>
    <row r="27" spans="2:9" x14ac:dyDescent="0.5">
      <c r="B27" s="381"/>
      <c r="C27" s="387" t="s">
        <v>1085</v>
      </c>
      <c r="D27" s="387"/>
      <c r="E27" s="381">
        <v>1.6820000000000002</v>
      </c>
      <c r="F27" s="381"/>
      <c r="G27" s="381"/>
      <c r="H27" s="380"/>
      <c r="I27" s="380"/>
    </row>
    <row r="28" spans="2:9" x14ac:dyDescent="0.5">
      <c r="B28" s="374" t="s">
        <v>1021</v>
      </c>
      <c r="C28" s="386" t="s">
        <v>33</v>
      </c>
      <c r="D28" s="386" t="s">
        <v>9</v>
      </c>
      <c r="E28" s="374">
        <v>0.73</v>
      </c>
      <c r="F28" s="374" t="s">
        <v>1022</v>
      </c>
      <c r="G28" s="374">
        <v>6</v>
      </c>
      <c r="H28" s="380"/>
      <c r="I28" s="380"/>
    </row>
    <row r="29" spans="2:9" x14ac:dyDescent="0.5">
      <c r="B29" s="374" t="s">
        <v>1001</v>
      </c>
      <c r="C29" s="386" t="s">
        <v>17</v>
      </c>
      <c r="D29" s="386" t="s">
        <v>9</v>
      </c>
      <c r="E29" s="374">
        <v>0.70099999999999996</v>
      </c>
      <c r="F29" s="374" t="s">
        <v>1003</v>
      </c>
      <c r="G29" s="374">
        <v>6</v>
      </c>
      <c r="H29" s="380"/>
      <c r="I29" s="380"/>
    </row>
    <row r="30" spans="2:9" x14ac:dyDescent="0.5">
      <c r="B30" s="381"/>
      <c r="C30" s="387" t="s">
        <v>1084</v>
      </c>
      <c r="D30" s="387"/>
      <c r="E30" s="381">
        <v>1.431</v>
      </c>
      <c r="F30" s="381"/>
      <c r="G30" s="381"/>
      <c r="H30" s="380"/>
      <c r="I30" s="380"/>
    </row>
    <row r="31" spans="2:9" x14ac:dyDescent="0.5">
      <c r="B31" s="374" t="s">
        <v>1003</v>
      </c>
      <c r="C31" s="386" t="s">
        <v>18</v>
      </c>
      <c r="D31" s="386" t="s">
        <v>9</v>
      </c>
      <c r="E31" s="374">
        <v>0.69499999999999995</v>
      </c>
      <c r="F31" s="374" t="s">
        <v>1004</v>
      </c>
      <c r="G31" s="374">
        <v>7</v>
      </c>
      <c r="H31" s="380"/>
      <c r="I31" s="380"/>
    </row>
    <row r="32" spans="2:9" x14ac:dyDescent="0.5">
      <c r="B32" s="374" t="s">
        <v>1022</v>
      </c>
      <c r="C32" s="386" t="s">
        <v>34</v>
      </c>
      <c r="D32" s="386" t="s">
        <v>9</v>
      </c>
      <c r="E32" s="374">
        <v>0.58199999999999996</v>
      </c>
      <c r="F32" s="374" t="s">
        <v>1023</v>
      </c>
      <c r="G32" s="374">
        <v>7</v>
      </c>
      <c r="H32" s="380"/>
      <c r="I32" s="380"/>
    </row>
    <row r="33" spans="2:9" x14ac:dyDescent="0.5">
      <c r="B33" s="374" t="s">
        <v>1024</v>
      </c>
      <c r="C33" s="386" t="s">
        <v>41</v>
      </c>
      <c r="D33" s="386" t="s">
        <v>20</v>
      </c>
      <c r="E33" s="374">
        <v>0.23499999999999999</v>
      </c>
      <c r="F33" s="374" t="s">
        <v>1025</v>
      </c>
      <c r="G33" s="374">
        <v>7</v>
      </c>
      <c r="H33" s="380"/>
      <c r="I33" s="380"/>
    </row>
    <row r="34" spans="2:9" x14ac:dyDescent="0.5">
      <c r="B34" s="381"/>
      <c r="C34" s="387" t="s">
        <v>1083</v>
      </c>
      <c r="D34" s="387"/>
      <c r="E34" s="381">
        <v>1.512</v>
      </c>
      <c r="F34" s="381"/>
      <c r="G34" s="381"/>
      <c r="H34" s="380"/>
      <c r="I34" s="380"/>
    </row>
    <row r="35" spans="2:9" x14ac:dyDescent="0.5">
      <c r="B35" s="374" t="s">
        <v>1025</v>
      </c>
      <c r="C35" s="386" t="s">
        <v>42</v>
      </c>
      <c r="D35" s="386" t="s">
        <v>9</v>
      </c>
      <c r="E35" s="374">
        <v>1.163</v>
      </c>
      <c r="F35" s="374" t="s">
        <v>1026</v>
      </c>
      <c r="G35" s="374">
        <v>8</v>
      </c>
      <c r="H35" s="380"/>
      <c r="I35" s="380"/>
    </row>
    <row r="36" spans="2:9" x14ac:dyDescent="0.5">
      <c r="B36" s="374" t="s">
        <v>1004</v>
      </c>
      <c r="C36" s="386" t="s">
        <v>19</v>
      </c>
      <c r="D36" s="386" t="s">
        <v>20</v>
      </c>
      <c r="E36" s="374">
        <v>0.373</v>
      </c>
      <c r="F36" s="374" t="s">
        <v>1005</v>
      </c>
      <c r="G36" s="374">
        <v>8</v>
      </c>
      <c r="H36" s="380"/>
      <c r="I36" s="380"/>
    </row>
    <row r="37" spans="2:9" x14ac:dyDescent="0.5">
      <c r="B37" s="374" t="s">
        <v>1005</v>
      </c>
      <c r="C37" s="386" t="s">
        <v>21</v>
      </c>
      <c r="D37" s="386" t="s">
        <v>20</v>
      </c>
      <c r="E37" s="374">
        <v>0.214</v>
      </c>
      <c r="F37" s="374" t="s">
        <v>1027</v>
      </c>
      <c r="G37" s="374">
        <v>8</v>
      </c>
      <c r="H37" s="380"/>
      <c r="I37" s="380"/>
    </row>
    <row r="38" spans="2:9" x14ac:dyDescent="0.5">
      <c r="B38" s="381"/>
      <c r="C38" s="387" t="s">
        <v>1082</v>
      </c>
      <c r="D38" s="387"/>
      <c r="E38" s="381">
        <v>1.75</v>
      </c>
      <c r="F38" s="381"/>
      <c r="G38" s="381"/>
      <c r="H38" s="380"/>
      <c r="I38" s="380"/>
    </row>
    <row r="39" spans="2:9" x14ac:dyDescent="0.5">
      <c r="B39" s="374" t="s">
        <v>1026</v>
      </c>
      <c r="C39" s="386" t="s">
        <v>43</v>
      </c>
      <c r="D39" s="386" t="s">
        <v>9</v>
      </c>
      <c r="E39" s="374">
        <v>0.55800000000000005</v>
      </c>
      <c r="F39" s="374" t="s">
        <v>1028</v>
      </c>
      <c r="G39" s="374">
        <v>9</v>
      </c>
      <c r="H39" s="380"/>
      <c r="I39" s="380"/>
    </row>
    <row r="40" spans="2:9" x14ac:dyDescent="0.5">
      <c r="B40" s="374" t="s">
        <v>1029</v>
      </c>
      <c r="C40" s="386" t="s">
        <v>36</v>
      </c>
      <c r="D40" s="386" t="s">
        <v>20</v>
      </c>
      <c r="E40" s="374">
        <v>0.432</v>
      </c>
      <c r="F40" s="374" t="s">
        <v>1027</v>
      </c>
      <c r="G40" s="374">
        <v>9</v>
      </c>
      <c r="H40" s="380"/>
      <c r="I40" s="380"/>
    </row>
    <row r="41" spans="2:9" x14ac:dyDescent="0.5">
      <c r="B41" s="374" t="s">
        <v>1030</v>
      </c>
      <c r="C41" s="386" t="s">
        <v>50</v>
      </c>
      <c r="D41" s="386" t="s">
        <v>20</v>
      </c>
      <c r="E41" s="374">
        <v>0.40300000000000002</v>
      </c>
      <c r="F41" s="374" t="s">
        <v>1031</v>
      </c>
      <c r="G41" s="374">
        <v>9</v>
      </c>
      <c r="H41" s="380"/>
      <c r="I41" s="380"/>
    </row>
    <row r="42" spans="2:9" x14ac:dyDescent="0.5">
      <c r="B42" s="374" t="s">
        <v>1023</v>
      </c>
      <c r="C42" s="386" t="s">
        <v>35</v>
      </c>
      <c r="D42" s="386" t="s">
        <v>20</v>
      </c>
      <c r="E42" s="374">
        <v>0.35899999999999999</v>
      </c>
      <c r="F42" s="374" t="s">
        <v>1029</v>
      </c>
      <c r="G42" s="374">
        <v>9</v>
      </c>
      <c r="H42" s="380"/>
      <c r="I42" s="380"/>
    </row>
    <row r="43" spans="2:9" x14ac:dyDescent="0.5">
      <c r="B43" s="381"/>
      <c r="C43" s="387" t="s">
        <v>1081</v>
      </c>
      <c r="D43" s="387"/>
      <c r="E43" s="381">
        <v>1.752</v>
      </c>
      <c r="F43" s="381"/>
      <c r="G43" s="381"/>
      <c r="H43" s="380"/>
      <c r="I43" s="380"/>
    </row>
    <row r="44" spans="2:9" x14ac:dyDescent="0.5">
      <c r="B44" s="374" t="s">
        <v>1027</v>
      </c>
      <c r="C44" s="386" t="s">
        <v>37</v>
      </c>
      <c r="D44" s="386" t="s">
        <v>13</v>
      </c>
      <c r="E44" s="374">
        <v>1.5309999999999999</v>
      </c>
      <c r="F44" s="374" t="s">
        <v>1032</v>
      </c>
      <c r="G44" s="374">
        <v>10</v>
      </c>
      <c r="H44" s="380"/>
      <c r="I44" s="380"/>
    </row>
    <row r="45" spans="2:9" x14ac:dyDescent="0.5">
      <c r="B45" s="374" t="s">
        <v>1028</v>
      </c>
      <c r="C45" s="386" t="s">
        <v>44</v>
      </c>
      <c r="D45" s="386" t="s">
        <v>45</v>
      </c>
      <c r="E45" s="374">
        <v>0.23799999999999999</v>
      </c>
      <c r="F45" s="374" t="s">
        <v>1033</v>
      </c>
      <c r="G45" s="374">
        <v>10</v>
      </c>
      <c r="H45" s="380"/>
      <c r="I45" s="380"/>
    </row>
    <row r="46" spans="2:9" x14ac:dyDescent="0.5">
      <c r="B46" s="381"/>
      <c r="C46" s="387" t="s">
        <v>1080</v>
      </c>
      <c r="D46" s="387"/>
      <c r="E46" s="381">
        <v>1.7689999999999999</v>
      </c>
      <c r="F46" s="381"/>
      <c r="G46" s="381"/>
      <c r="H46" s="380"/>
      <c r="I46" s="380"/>
    </row>
    <row r="47" spans="2:9" x14ac:dyDescent="0.5">
      <c r="B47" s="374" t="s">
        <v>1033</v>
      </c>
      <c r="C47" s="386" t="s">
        <v>46</v>
      </c>
      <c r="D47" s="386" t="s">
        <v>9</v>
      </c>
      <c r="E47" s="374">
        <v>1.27</v>
      </c>
      <c r="F47" s="374" t="s">
        <v>1034</v>
      </c>
      <c r="G47" s="374">
        <v>11</v>
      </c>
      <c r="H47" s="380"/>
      <c r="I47" s="380"/>
    </row>
    <row r="48" spans="2:9" x14ac:dyDescent="0.5">
      <c r="B48" s="374" t="s">
        <v>1035</v>
      </c>
      <c r="C48" s="386" t="s">
        <v>52</v>
      </c>
      <c r="D48" s="386" t="s">
        <v>9</v>
      </c>
      <c r="E48" s="374">
        <v>0.221</v>
      </c>
      <c r="F48" s="374" t="s">
        <v>1036</v>
      </c>
      <c r="G48" s="374">
        <v>11</v>
      </c>
      <c r="H48" s="380"/>
      <c r="I48" s="380"/>
    </row>
    <row r="49" spans="2:9" x14ac:dyDescent="0.5">
      <c r="B49" s="374" t="s">
        <v>1031</v>
      </c>
      <c r="C49" s="386" t="s">
        <v>51</v>
      </c>
      <c r="D49" s="386" t="s">
        <v>5</v>
      </c>
      <c r="E49" s="374">
        <v>0.20200000000000001</v>
      </c>
      <c r="F49" s="374" t="s">
        <v>1035</v>
      </c>
      <c r="G49" s="374">
        <v>11</v>
      </c>
      <c r="H49" s="380"/>
      <c r="I49" s="380"/>
    </row>
    <row r="50" spans="2:9" x14ac:dyDescent="0.5">
      <c r="B50" s="381"/>
      <c r="C50" s="387" t="s">
        <v>1079</v>
      </c>
      <c r="D50" s="387"/>
      <c r="E50" s="381">
        <v>1.6930000000000001</v>
      </c>
      <c r="F50" s="381"/>
      <c r="G50" s="381"/>
      <c r="H50" s="380"/>
      <c r="I50" s="380"/>
    </row>
    <row r="51" spans="2:9" x14ac:dyDescent="0.5">
      <c r="B51" s="374" t="s">
        <v>1032</v>
      </c>
      <c r="C51" s="386" t="s">
        <v>38</v>
      </c>
      <c r="D51" s="386" t="s">
        <v>39</v>
      </c>
      <c r="E51" s="374">
        <v>1.091</v>
      </c>
      <c r="F51" s="374" t="s">
        <v>1037</v>
      </c>
      <c r="G51" s="374">
        <v>12</v>
      </c>
      <c r="H51" s="380"/>
      <c r="I51" s="380"/>
    </row>
    <row r="52" spans="2:9" x14ac:dyDescent="0.5">
      <c r="B52" s="374" t="s">
        <v>1037</v>
      </c>
      <c r="C52" s="386" t="s">
        <v>40</v>
      </c>
      <c r="D52" s="386" t="s">
        <v>20</v>
      </c>
      <c r="E52" s="374">
        <v>0.36199999999999999</v>
      </c>
      <c r="F52" s="374" t="s">
        <v>1038</v>
      </c>
      <c r="G52" s="374">
        <v>12</v>
      </c>
      <c r="H52" s="380"/>
      <c r="I52" s="380"/>
    </row>
    <row r="53" spans="2:9" x14ac:dyDescent="0.5">
      <c r="B53" s="381"/>
      <c r="C53" s="387" t="s">
        <v>1078</v>
      </c>
      <c r="D53" s="387"/>
      <c r="E53" s="381">
        <v>1.4529999999999998</v>
      </c>
      <c r="F53" s="381"/>
      <c r="G53" s="381"/>
      <c r="H53" s="380"/>
      <c r="I53" s="380"/>
    </row>
    <row r="54" spans="2:9" x14ac:dyDescent="0.5">
      <c r="B54" s="374" t="s">
        <v>1034</v>
      </c>
      <c r="C54" s="386" t="s">
        <v>47</v>
      </c>
      <c r="D54" s="386" t="s">
        <v>48</v>
      </c>
      <c r="E54" s="374">
        <v>1.6519999999999999</v>
      </c>
      <c r="F54" s="374" t="s">
        <v>1038</v>
      </c>
      <c r="G54" s="374">
        <v>13</v>
      </c>
      <c r="H54" s="380"/>
      <c r="I54" s="380"/>
    </row>
    <row r="55" spans="2:9" x14ac:dyDescent="0.5">
      <c r="B55" s="381"/>
      <c r="C55" s="387" t="s">
        <v>1077</v>
      </c>
      <c r="D55" s="387"/>
      <c r="E55" s="381">
        <v>1.6519999999999999</v>
      </c>
      <c r="F55" s="381"/>
      <c r="G55" s="381"/>
      <c r="H55" s="380"/>
      <c r="I55" s="380"/>
    </row>
    <row r="56" spans="2:9" x14ac:dyDescent="0.5">
      <c r="B56" s="374" t="s">
        <v>1038</v>
      </c>
      <c r="C56" s="386" t="s">
        <v>49</v>
      </c>
      <c r="D56" s="386" t="s">
        <v>9</v>
      </c>
      <c r="E56" s="374">
        <v>1.2509999999999999</v>
      </c>
      <c r="F56" s="374" t="s">
        <v>1039</v>
      </c>
      <c r="G56" s="374">
        <v>14</v>
      </c>
      <c r="H56" s="380"/>
      <c r="I56" s="380"/>
    </row>
    <row r="57" spans="2:9" x14ac:dyDescent="0.5">
      <c r="B57" s="374" t="s">
        <v>1036</v>
      </c>
      <c r="C57" s="386" t="s">
        <v>53</v>
      </c>
      <c r="D57" s="386" t="s">
        <v>31</v>
      </c>
      <c r="E57" s="374">
        <v>0.34899999999999998</v>
      </c>
      <c r="F57" s="374" t="s">
        <v>1040</v>
      </c>
      <c r="G57" s="374">
        <v>14</v>
      </c>
      <c r="H57" s="380"/>
      <c r="I57" s="380"/>
    </row>
    <row r="58" spans="2:9" x14ac:dyDescent="0.5">
      <c r="B58" s="381"/>
      <c r="C58" s="387" t="s">
        <v>1076</v>
      </c>
      <c r="D58" s="387"/>
      <c r="E58" s="381">
        <v>1.5999999999999999</v>
      </c>
      <c r="F58" s="381"/>
      <c r="G58" s="381"/>
      <c r="H58" s="380"/>
      <c r="I58" s="380"/>
    </row>
    <row r="59" spans="2:9" x14ac:dyDescent="0.5">
      <c r="B59" s="374" t="s">
        <v>1040</v>
      </c>
      <c r="C59" s="386" t="s">
        <v>54</v>
      </c>
      <c r="D59" s="386" t="s">
        <v>9</v>
      </c>
      <c r="E59" s="374">
        <v>0.39200000000000002</v>
      </c>
      <c r="F59" s="374" t="s">
        <v>1039</v>
      </c>
      <c r="G59" s="374">
        <v>15</v>
      </c>
      <c r="H59" s="380"/>
      <c r="I59" s="380"/>
    </row>
    <row r="60" spans="2:9" x14ac:dyDescent="0.5">
      <c r="B60" s="381"/>
      <c r="C60" s="387" t="s">
        <v>1075</v>
      </c>
      <c r="D60" s="387"/>
      <c r="E60" s="381">
        <v>0.39200000000000002</v>
      </c>
      <c r="F60" s="381"/>
      <c r="G60" s="381"/>
      <c r="H60" s="380"/>
      <c r="I60" s="380"/>
    </row>
    <row r="61" spans="2:9" x14ac:dyDescent="0.5">
      <c r="B61" s="374" t="s">
        <v>1039</v>
      </c>
      <c r="C61" s="386" t="s">
        <v>55</v>
      </c>
      <c r="D61" s="386" t="s">
        <v>9</v>
      </c>
      <c r="E61" s="374">
        <v>1.7210000000000001</v>
      </c>
      <c r="F61" s="374" t="s">
        <v>1041</v>
      </c>
      <c r="G61" s="374">
        <v>16</v>
      </c>
      <c r="H61" s="380"/>
      <c r="I61" s="380"/>
    </row>
    <row r="62" spans="2:9" x14ac:dyDescent="0.5">
      <c r="B62" s="381"/>
      <c r="C62" s="387" t="s">
        <v>1074</v>
      </c>
      <c r="D62" s="387"/>
      <c r="E62" s="381">
        <v>1.7210000000000001</v>
      </c>
      <c r="F62" s="381"/>
      <c r="G62" s="381"/>
      <c r="H62" s="380"/>
      <c r="I62" s="380"/>
    </row>
    <row r="63" spans="2:9" x14ac:dyDescent="0.5">
      <c r="B63" s="374" t="s">
        <v>1018</v>
      </c>
      <c r="C63" s="386" t="s">
        <v>62</v>
      </c>
      <c r="D63" s="386" t="s">
        <v>9</v>
      </c>
      <c r="E63" s="374">
        <v>0.26</v>
      </c>
      <c r="F63" s="374" t="s">
        <v>1042</v>
      </c>
      <c r="G63" s="374">
        <v>17</v>
      </c>
      <c r="H63" s="380"/>
      <c r="I63" s="380"/>
    </row>
    <row r="64" spans="2:9" x14ac:dyDescent="0.5">
      <c r="B64" s="374" t="s">
        <v>1043</v>
      </c>
      <c r="C64" s="386" t="s">
        <v>64</v>
      </c>
      <c r="D64" s="386" t="s">
        <v>9</v>
      </c>
      <c r="E64" s="374">
        <v>0.23300000000000001</v>
      </c>
      <c r="F64" s="374" t="s">
        <v>1044</v>
      </c>
      <c r="G64" s="374">
        <v>17</v>
      </c>
      <c r="H64" s="380"/>
      <c r="I64" s="380"/>
    </row>
    <row r="65" spans="2:9" x14ac:dyDescent="0.5">
      <c r="B65" s="374" t="s">
        <v>1042</v>
      </c>
      <c r="C65" s="386" t="s">
        <v>63</v>
      </c>
      <c r="D65" s="386" t="s">
        <v>31</v>
      </c>
      <c r="E65" s="374">
        <v>0.151</v>
      </c>
      <c r="F65" s="374" t="s">
        <v>1043</v>
      </c>
      <c r="G65" s="374">
        <v>17</v>
      </c>
      <c r="H65" s="380"/>
      <c r="I65" s="380"/>
    </row>
    <row r="66" spans="2:9" x14ac:dyDescent="0.5">
      <c r="B66" s="374" t="s">
        <v>1044</v>
      </c>
      <c r="C66" s="386" t="s">
        <v>65</v>
      </c>
      <c r="D66" s="386" t="s">
        <v>5</v>
      </c>
      <c r="E66" s="374">
        <v>9.5000000000000001E-2</v>
      </c>
      <c r="F66" s="374" t="s">
        <v>1045</v>
      </c>
      <c r="G66" s="374">
        <v>17</v>
      </c>
      <c r="H66" s="380"/>
      <c r="I66" s="380"/>
    </row>
    <row r="67" spans="2:9" x14ac:dyDescent="0.5">
      <c r="B67" s="381"/>
      <c r="C67" s="387" t="s">
        <v>1073</v>
      </c>
      <c r="D67" s="387"/>
      <c r="E67" s="381">
        <v>0.73899999999999999</v>
      </c>
      <c r="F67" s="381"/>
      <c r="G67" s="381"/>
      <c r="H67" s="380"/>
      <c r="I67" s="380"/>
    </row>
    <row r="68" spans="2:9" x14ac:dyDescent="0.5">
      <c r="B68" s="374" t="s">
        <v>1041</v>
      </c>
      <c r="C68" s="386" t="s">
        <v>56</v>
      </c>
      <c r="D68" s="386" t="s">
        <v>57</v>
      </c>
      <c r="E68" s="374">
        <v>1.56</v>
      </c>
      <c r="F68" s="374" t="s">
        <v>1046</v>
      </c>
      <c r="G68" s="374">
        <v>18</v>
      </c>
      <c r="H68" s="380"/>
      <c r="I68" s="380"/>
    </row>
    <row r="69" spans="2:9" x14ac:dyDescent="0.5">
      <c r="B69" s="381"/>
      <c r="C69" s="387" t="s">
        <v>1072</v>
      </c>
      <c r="D69" s="387"/>
      <c r="E69" s="381">
        <v>1.56</v>
      </c>
      <c r="F69" s="381"/>
      <c r="G69" s="381"/>
      <c r="H69" s="380"/>
      <c r="I69" s="380"/>
    </row>
    <row r="70" spans="2:9" x14ac:dyDescent="0.5">
      <c r="B70" s="374" t="s">
        <v>1046</v>
      </c>
      <c r="C70" s="386" t="s">
        <v>58</v>
      </c>
      <c r="D70" s="386" t="s">
        <v>13</v>
      </c>
      <c r="E70" s="374">
        <v>0.65800000000000003</v>
      </c>
      <c r="F70" s="374" t="s">
        <v>1047</v>
      </c>
      <c r="G70" s="374">
        <v>19</v>
      </c>
      <c r="H70" s="380"/>
      <c r="I70" s="380"/>
    </row>
    <row r="71" spans="2:9" x14ac:dyDescent="0.5">
      <c r="B71" s="374" t="s">
        <v>1047</v>
      </c>
      <c r="C71" s="386" t="s">
        <v>59</v>
      </c>
      <c r="D71" s="386" t="s">
        <v>60</v>
      </c>
      <c r="E71" s="374">
        <v>0.57599999999999996</v>
      </c>
      <c r="F71" s="374" t="s">
        <v>1045</v>
      </c>
      <c r="G71" s="374">
        <v>19</v>
      </c>
      <c r="H71" s="380"/>
      <c r="I71" s="380"/>
    </row>
    <row r="72" spans="2:9" x14ac:dyDescent="0.5">
      <c r="B72" s="374" t="s">
        <v>1048</v>
      </c>
      <c r="C72" s="386" t="s">
        <v>66</v>
      </c>
      <c r="D72" s="386" t="s">
        <v>67</v>
      </c>
      <c r="E72" s="374">
        <v>0.14899999999999999</v>
      </c>
      <c r="F72" s="374" t="s">
        <v>1045</v>
      </c>
      <c r="G72" s="374">
        <v>19</v>
      </c>
      <c r="H72" s="380"/>
      <c r="I72" s="380"/>
    </row>
    <row r="73" spans="2:9" x14ac:dyDescent="0.5">
      <c r="B73" s="381"/>
      <c r="C73" s="387" t="s">
        <v>1071</v>
      </c>
      <c r="D73" s="387"/>
      <c r="E73" s="381">
        <v>1.383</v>
      </c>
      <c r="F73" s="381"/>
      <c r="G73" s="381"/>
      <c r="H73" s="380"/>
      <c r="I73" s="380"/>
    </row>
    <row r="74" spans="2:9" x14ac:dyDescent="0.5">
      <c r="B74" s="374" t="s">
        <v>1045</v>
      </c>
      <c r="C74" s="386" t="s">
        <v>68</v>
      </c>
      <c r="D74" s="386" t="s">
        <v>9</v>
      </c>
      <c r="E74" s="374">
        <v>1.819</v>
      </c>
      <c r="F74" s="374" t="s">
        <v>1049</v>
      </c>
      <c r="G74" s="374">
        <v>20</v>
      </c>
      <c r="H74" s="380"/>
      <c r="I74" s="380"/>
    </row>
    <row r="75" spans="2:9" x14ac:dyDescent="0.5">
      <c r="B75" s="381"/>
      <c r="C75" s="387" t="s">
        <v>1070</v>
      </c>
      <c r="D75" s="387"/>
      <c r="E75" s="381">
        <v>1.819</v>
      </c>
      <c r="F75" s="381"/>
      <c r="G75" s="381"/>
      <c r="H75" s="380"/>
      <c r="I75" s="380"/>
    </row>
    <row r="76" spans="2:9" x14ac:dyDescent="0.5">
      <c r="B76" s="374" t="s">
        <v>1049</v>
      </c>
      <c r="C76" s="386" t="s">
        <v>69</v>
      </c>
      <c r="D76" s="386" t="s">
        <v>9</v>
      </c>
      <c r="E76" s="374">
        <v>1.129</v>
      </c>
      <c r="F76" s="374" t="s">
        <v>1050</v>
      </c>
      <c r="G76" s="374">
        <v>21</v>
      </c>
      <c r="H76" s="380"/>
      <c r="I76" s="380"/>
    </row>
    <row r="77" spans="2:9" x14ac:dyDescent="0.5">
      <c r="B77" s="381"/>
      <c r="C77" s="387" t="s">
        <v>1069</v>
      </c>
      <c r="D77" s="387"/>
      <c r="E77" s="381">
        <v>1.129</v>
      </c>
      <c r="F77" s="381"/>
      <c r="G77" s="381"/>
      <c r="H77" s="380"/>
      <c r="I77" s="380"/>
    </row>
    <row r="78" spans="2:9" x14ac:dyDescent="0.5">
      <c r="B78" s="374" t="s">
        <v>1050</v>
      </c>
      <c r="C78" s="386" t="s">
        <v>70</v>
      </c>
      <c r="D78" s="386" t="s">
        <v>9</v>
      </c>
      <c r="E78" s="374">
        <v>1.474</v>
      </c>
      <c r="F78" s="374" t="s">
        <v>1051</v>
      </c>
      <c r="G78" s="374">
        <v>22</v>
      </c>
      <c r="H78" s="380"/>
      <c r="I78" s="380"/>
    </row>
    <row r="79" spans="2:9" x14ac:dyDescent="0.5">
      <c r="B79" s="381"/>
      <c r="C79" s="387" t="s">
        <v>1068</v>
      </c>
      <c r="D79" s="387"/>
      <c r="E79" s="381">
        <v>1.474</v>
      </c>
      <c r="F79" s="381"/>
      <c r="G79" s="381"/>
      <c r="H79" s="380"/>
      <c r="I79" s="380"/>
    </row>
    <row r="80" spans="2:9" x14ac:dyDescent="0.5">
      <c r="B80" s="374" t="s">
        <v>1051</v>
      </c>
      <c r="C80" s="386" t="s">
        <v>71</v>
      </c>
      <c r="D80" s="386" t="s">
        <v>9</v>
      </c>
      <c r="E80" s="374">
        <v>1.6850000000000001</v>
      </c>
      <c r="F80" s="374" t="s">
        <v>1052</v>
      </c>
      <c r="G80" s="374">
        <v>23</v>
      </c>
      <c r="H80" s="380"/>
      <c r="I80" s="380"/>
    </row>
    <row r="81" spans="2:9" x14ac:dyDescent="0.5">
      <c r="B81" s="381"/>
      <c r="C81" s="387" t="s">
        <v>1067</v>
      </c>
      <c r="D81" s="387"/>
      <c r="E81" s="381">
        <v>1.6850000000000001</v>
      </c>
      <c r="F81" s="381"/>
      <c r="G81" s="381"/>
      <c r="H81" s="380"/>
      <c r="I81" s="380"/>
    </row>
    <row r="82" spans="2:9" x14ac:dyDescent="0.5">
      <c r="B82" s="374" t="s">
        <v>1053</v>
      </c>
      <c r="C82" s="386" t="s">
        <v>74</v>
      </c>
      <c r="D82" s="386" t="s">
        <v>39</v>
      </c>
      <c r="E82" s="374">
        <v>0.67100000000000004</v>
      </c>
      <c r="F82" s="374" t="s">
        <v>1054</v>
      </c>
      <c r="G82" s="374">
        <v>24</v>
      </c>
      <c r="H82" s="380"/>
      <c r="I82" s="380"/>
    </row>
    <row r="83" spans="2:9" s="380" customFormat="1" x14ac:dyDescent="0.5">
      <c r="B83" s="374" t="s">
        <v>1052</v>
      </c>
      <c r="C83" s="386" t="s">
        <v>72</v>
      </c>
      <c r="D83" s="386" t="s">
        <v>13</v>
      </c>
      <c r="E83" s="374">
        <v>0.54800000000000004</v>
      </c>
      <c r="F83" s="374" t="s">
        <v>1055</v>
      </c>
      <c r="G83" s="374">
        <v>24</v>
      </c>
    </row>
    <row r="84" spans="2:9" s="380" customFormat="1" x14ac:dyDescent="0.5">
      <c r="B84" s="374" t="s">
        <v>1055</v>
      </c>
      <c r="C84" s="386" t="s">
        <v>73</v>
      </c>
      <c r="D84" s="386" t="s">
        <v>20</v>
      </c>
      <c r="E84" s="374">
        <v>0.35499999999999998</v>
      </c>
      <c r="F84" s="374" t="s">
        <v>1053</v>
      </c>
      <c r="G84" s="374">
        <v>24</v>
      </c>
    </row>
    <row r="85" spans="2:9" s="380" customFormat="1" x14ac:dyDescent="0.5">
      <c r="B85" s="374" t="s">
        <v>1056</v>
      </c>
      <c r="C85" s="386" t="s">
        <v>75</v>
      </c>
      <c r="D85" s="386" t="s">
        <v>20</v>
      </c>
      <c r="E85" s="374">
        <v>0.14199999999999999</v>
      </c>
      <c r="F85" s="374" t="s">
        <v>1054</v>
      </c>
      <c r="G85" s="374">
        <v>24</v>
      </c>
    </row>
    <row r="86" spans="2:9" s="380" customFormat="1" x14ac:dyDescent="0.5">
      <c r="B86" s="381"/>
      <c r="C86" s="387" t="s">
        <v>1066</v>
      </c>
      <c r="D86" s="387"/>
      <c r="E86" s="381">
        <v>1.716</v>
      </c>
      <c r="F86" s="381"/>
      <c r="G86" s="381"/>
    </row>
    <row r="87" spans="2:9" s="380" customFormat="1" x14ac:dyDescent="0.5">
      <c r="B87" s="374" t="s">
        <v>1054</v>
      </c>
      <c r="C87" s="386" t="s">
        <v>76</v>
      </c>
      <c r="D87" s="386" t="s">
        <v>9</v>
      </c>
      <c r="E87" s="374">
        <v>1.252</v>
      </c>
      <c r="F87" s="374" t="s">
        <v>1057</v>
      </c>
      <c r="G87" s="374">
        <v>25</v>
      </c>
    </row>
    <row r="88" spans="2:9" s="380" customFormat="1" x14ac:dyDescent="0.5">
      <c r="B88" s="374" t="s">
        <v>1057</v>
      </c>
      <c r="C88" s="386" t="s">
        <v>77</v>
      </c>
      <c r="D88" s="386" t="s">
        <v>5</v>
      </c>
      <c r="E88" s="374">
        <v>0.52300000000000002</v>
      </c>
      <c r="F88" s="374" t="s">
        <v>1058</v>
      </c>
      <c r="G88" s="374">
        <v>25</v>
      </c>
    </row>
    <row r="89" spans="2:9" s="380" customFormat="1" x14ac:dyDescent="0.5">
      <c r="B89" s="374" t="s">
        <v>1057</v>
      </c>
      <c r="C89" s="386" t="s">
        <v>77</v>
      </c>
      <c r="D89" s="386" t="s">
        <v>5</v>
      </c>
      <c r="E89" s="374">
        <v>0</v>
      </c>
      <c r="F89" s="374" t="s">
        <v>1059</v>
      </c>
      <c r="G89" s="374">
        <v>25</v>
      </c>
    </row>
    <row r="90" spans="2:9" s="380" customFormat="1" x14ac:dyDescent="0.5">
      <c r="B90" s="381"/>
      <c r="C90" s="387" t="s">
        <v>1065</v>
      </c>
      <c r="D90" s="387"/>
      <c r="E90" s="381">
        <v>1.7749999999999999</v>
      </c>
      <c r="F90" s="381"/>
      <c r="G90" s="381"/>
    </row>
    <row r="91" spans="2:9" s="380" customFormat="1" x14ac:dyDescent="0.5">
      <c r="B91" s="374" t="s">
        <v>1060</v>
      </c>
      <c r="C91" s="386" t="s">
        <v>80</v>
      </c>
      <c r="D91" s="386" t="s">
        <v>20</v>
      </c>
      <c r="E91" s="374">
        <v>0.88400000000000001</v>
      </c>
      <c r="F91" s="374" t="s">
        <v>1061</v>
      </c>
      <c r="G91" s="374">
        <v>26</v>
      </c>
    </row>
    <row r="92" spans="2:9" s="380" customFormat="1" x14ac:dyDescent="0.5">
      <c r="B92" s="374" t="s">
        <v>1059</v>
      </c>
      <c r="C92" s="386" t="s">
        <v>79</v>
      </c>
      <c r="D92" s="386" t="s">
        <v>9</v>
      </c>
      <c r="E92" s="374">
        <v>0.68799999999999994</v>
      </c>
      <c r="F92" s="374" t="s">
        <v>1060</v>
      </c>
      <c r="G92" s="374">
        <v>26</v>
      </c>
    </row>
    <row r="93" spans="2:9" s="380" customFormat="1" x14ac:dyDescent="0.5">
      <c r="B93" s="374" t="s">
        <v>1058</v>
      </c>
      <c r="C93" s="386" t="s">
        <v>78</v>
      </c>
      <c r="D93" s="386" t="s">
        <v>9</v>
      </c>
      <c r="E93" s="374">
        <v>0.16400000000000001</v>
      </c>
      <c r="F93" s="374" t="s">
        <v>1059</v>
      </c>
      <c r="G93" s="374">
        <v>26</v>
      </c>
    </row>
    <row r="94" spans="2:9" s="380" customFormat="1" x14ac:dyDescent="0.5">
      <c r="B94" s="381"/>
      <c r="C94" s="387" t="s">
        <v>1064</v>
      </c>
      <c r="D94" s="387"/>
      <c r="E94" s="381">
        <v>1.736</v>
      </c>
      <c r="F94" s="381"/>
      <c r="G94" s="381"/>
    </row>
    <row r="95" spans="2:9" s="380" customFormat="1" x14ac:dyDescent="0.5">
      <c r="B95" s="374" t="s">
        <v>1061</v>
      </c>
      <c r="C95" s="386" t="s">
        <v>81</v>
      </c>
      <c r="D95" s="386" t="s">
        <v>9</v>
      </c>
      <c r="E95" s="374">
        <v>0.91300000000000003</v>
      </c>
      <c r="F95" s="374" t="s">
        <v>1062</v>
      </c>
      <c r="G95" s="374">
        <v>27</v>
      </c>
    </row>
    <row r="96" spans="2:9" s="380" customFormat="1" x14ac:dyDescent="0.5">
      <c r="B96" s="374" t="s">
        <v>1062</v>
      </c>
      <c r="C96" s="386" t="s">
        <v>82</v>
      </c>
      <c r="D96" s="386" t="s">
        <v>57</v>
      </c>
      <c r="E96" s="374">
        <v>0.89500000000000002</v>
      </c>
      <c r="F96" s="374" t="s">
        <v>1009</v>
      </c>
      <c r="G96" s="374">
        <v>27</v>
      </c>
    </row>
    <row r="97" spans="2:9" s="380" customFormat="1" x14ac:dyDescent="0.5">
      <c r="B97" s="389"/>
      <c r="C97" s="390" t="s">
        <v>1063</v>
      </c>
      <c r="D97" s="390"/>
      <c r="E97" s="389">
        <v>1.8080000000000001</v>
      </c>
      <c r="F97" s="389"/>
      <c r="G97" s="389"/>
    </row>
    <row r="98" spans="2:9" x14ac:dyDescent="0.5">
      <c r="B98" s="375"/>
      <c r="C98" s="376"/>
      <c r="D98" s="376"/>
      <c r="E98" s="379"/>
      <c r="F98" s="375"/>
      <c r="G98" s="375"/>
      <c r="H98" s="380"/>
      <c r="I98" s="380"/>
    </row>
    <row r="99" spans="2:9" x14ac:dyDescent="0.5">
      <c r="B99" s="375"/>
      <c r="C99" s="376"/>
      <c r="D99" s="376"/>
      <c r="E99" s="375"/>
      <c r="F99" s="375"/>
      <c r="G99" s="375"/>
      <c r="H99" s="380"/>
      <c r="I99" s="380"/>
    </row>
    <row r="100" spans="2:9" x14ac:dyDescent="0.5">
      <c r="B100" s="375"/>
      <c r="C100" s="376"/>
      <c r="D100" s="376"/>
      <c r="E100" s="375"/>
      <c r="F100" s="375"/>
      <c r="G100" s="375"/>
      <c r="H100" s="380"/>
      <c r="I100" s="380"/>
    </row>
    <row r="101" spans="2:9" x14ac:dyDescent="0.5">
      <c r="B101" s="375"/>
      <c r="C101" s="376"/>
      <c r="D101" s="376"/>
      <c r="E101" s="375"/>
      <c r="F101" s="375"/>
      <c r="G101" s="375"/>
      <c r="H101" s="380"/>
      <c r="I101" s="380"/>
    </row>
    <row r="102" spans="2:9" x14ac:dyDescent="0.5">
      <c r="B102" s="375"/>
      <c r="C102" s="376"/>
      <c r="D102" s="376"/>
      <c r="E102" s="375"/>
      <c r="F102" s="375"/>
      <c r="G102" s="375"/>
      <c r="H102" s="380"/>
      <c r="I102" s="380"/>
    </row>
    <row r="103" spans="2:9" x14ac:dyDescent="0.5">
      <c r="B103" s="375"/>
      <c r="C103" s="376"/>
      <c r="D103" s="376"/>
      <c r="E103" s="375"/>
      <c r="F103" s="375"/>
      <c r="G103" s="375"/>
      <c r="H103" s="380"/>
      <c r="I103" s="380"/>
    </row>
    <row r="104" spans="2:9" x14ac:dyDescent="0.5">
      <c r="B104" s="375"/>
      <c r="C104" s="376"/>
      <c r="D104" s="376"/>
      <c r="E104" s="375"/>
      <c r="F104" s="375"/>
      <c r="G104" s="375"/>
      <c r="H104" s="380"/>
      <c r="I104" s="380"/>
    </row>
    <row r="105" spans="2:9" x14ac:dyDescent="0.5">
      <c r="B105" s="375"/>
      <c r="C105" s="376"/>
      <c r="D105" s="376"/>
      <c r="E105" s="375"/>
      <c r="F105" s="375"/>
      <c r="G105" s="375"/>
      <c r="H105" s="380"/>
      <c r="I105" s="380"/>
    </row>
    <row r="106" spans="2:9" s="380" customFormat="1" x14ac:dyDescent="0.5">
      <c r="B106" s="375"/>
      <c r="C106" s="376"/>
      <c r="D106" s="376"/>
      <c r="E106" s="375"/>
      <c r="F106" s="375"/>
      <c r="G106" s="375"/>
    </row>
    <row r="107" spans="2:9" s="380" customFormat="1" x14ac:dyDescent="0.5">
      <c r="B107" s="375"/>
      <c r="C107" s="376"/>
      <c r="D107" s="376"/>
      <c r="E107" s="375"/>
      <c r="F107" s="375"/>
      <c r="G107" s="375"/>
    </row>
    <row r="108" spans="2:9" s="380" customFormat="1" x14ac:dyDescent="0.5">
      <c r="B108" s="375"/>
      <c r="C108" s="376"/>
      <c r="D108" s="376"/>
      <c r="E108" s="375"/>
      <c r="F108" s="375"/>
      <c r="G108" s="375"/>
    </row>
    <row r="109" spans="2:9" x14ac:dyDescent="0.5">
      <c r="B109" s="375"/>
      <c r="C109" s="376"/>
      <c r="D109" s="376"/>
      <c r="E109" s="375"/>
      <c r="F109" s="375"/>
      <c r="G109" s="375"/>
      <c r="H109" s="380"/>
      <c r="I109" s="380"/>
    </row>
    <row r="110" spans="2:9" x14ac:dyDescent="0.5">
      <c r="B110" s="375"/>
      <c r="C110" s="376"/>
      <c r="D110" s="376"/>
      <c r="E110" s="375"/>
      <c r="F110" s="375"/>
      <c r="G110" s="375"/>
      <c r="H110" s="380"/>
      <c r="I110" s="380"/>
    </row>
    <row r="111" spans="2:9" x14ac:dyDescent="0.5">
      <c r="B111" s="375"/>
      <c r="C111" s="376"/>
      <c r="D111" s="376"/>
      <c r="E111" s="375"/>
      <c r="F111" s="375"/>
      <c r="G111" s="375"/>
      <c r="H111" s="380"/>
      <c r="I111" s="380"/>
    </row>
    <row r="112" spans="2:9" x14ac:dyDescent="0.5">
      <c r="B112" s="375"/>
      <c r="C112" s="376"/>
      <c r="D112" s="376"/>
      <c r="E112" s="375"/>
      <c r="F112" s="375"/>
      <c r="G112" s="375"/>
      <c r="H112" s="380"/>
      <c r="I112" s="380"/>
    </row>
    <row r="113" spans="2:9" x14ac:dyDescent="0.5">
      <c r="B113" s="375"/>
      <c r="C113" s="376"/>
      <c r="D113" s="376"/>
      <c r="E113" s="375"/>
      <c r="F113" s="375"/>
      <c r="G113" s="375"/>
      <c r="H113" s="380"/>
      <c r="I113" s="380"/>
    </row>
    <row r="114" spans="2:9" x14ac:dyDescent="0.5">
      <c r="B114" s="375"/>
      <c r="C114" s="376"/>
      <c r="D114" s="376"/>
      <c r="E114" s="375"/>
      <c r="F114" s="375"/>
      <c r="G114" s="375"/>
      <c r="H114" s="380"/>
      <c r="I114" s="380"/>
    </row>
    <row r="115" spans="2:9" s="380" customFormat="1" x14ac:dyDescent="0.5">
      <c r="B115" s="375"/>
      <c r="C115" s="376"/>
      <c r="D115" s="376"/>
      <c r="E115" s="375"/>
      <c r="F115" s="375"/>
      <c r="G115" s="375"/>
    </row>
    <row r="116" spans="2:9" s="380" customFormat="1" x14ac:dyDescent="0.5">
      <c r="B116" s="375"/>
      <c r="C116" s="376"/>
      <c r="D116" s="376"/>
      <c r="E116" s="375"/>
      <c r="F116" s="375"/>
      <c r="G116" s="375"/>
    </row>
    <row r="117" spans="2:9" x14ac:dyDescent="0.5">
      <c r="B117" s="375"/>
      <c r="C117" s="376"/>
      <c r="D117" s="376"/>
      <c r="E117" s="375"/>
      <c r="F117" s="375"/>
      <c r="G117" s="375"/>
      <c r="H117" s="380"/>
      <c r="I117" s="380"/>
    </row>
    <row r="118" spans="2:9" x14ac:dyDescent="0.5">
      <c r="B118" s="375"/>
      <c r="C118" s="376"/>
      <c r="D118" s="376"/>
      <c r="E118" s="375"/>
      <c r="F118" s="375"/>
      <c r="G118" s="375"/>
      <c r="H118" s="380"/>
      <c r="I118" s="380"/>
    </row>
    <row r="119" spans="2:9" x14ac:dyDescent="0.5">
      <c r="B119" s="375"/>
      <c r="C119" s="376"/>
      <c r="D119" s="376"/>
      <c r="E119" s="375"/>
      <c r="F119" s="375"/>
      <c r="G119" s="375"/>
      <c r="H119" s="380"/>
      <c r="I119" s="380"/>
    </row>
    <row r="120" spans="2:9" x14ac:dyDescent="0.5">
      <c r="B120" s="375"/>
      <c r="C120" s="376"/>
      <c r="D120" s="376"/>
      <c r="E120" s="375"/>
      <c r="F120" s="375"/>
      <c r="G120" s="375"/>
      <c r="H120" s="380"/>
      <c r="I120" s="380"/>
    </row>
    <row r="121" spans="2:9" x14ac:dyDescent="0.5">
      <c r="B121" s="375"/>
      <c r="C121" s="376"/>
      <c r="D121" s="376"/>
      <c r="E121" s="375"/>
      <c r="F121" s="375"/>
      <c r="G121" s="375"/>
      <c r="H121" s="380"/>
      <c r="I121" s="380"/>
    </row>
    <row r="122" spans="2:9" x14ac:dyDescent="0.5">
      <c r="B122" s="375"/>
      <c r="C122" s="376"/>
      <c r="D122" s="376"/>
      <c r="E122" s="375"/>
      <c r="F122" s="375"/>
      <c r="G122" s="375"/>
      <c r="H122" s="380"/>
      <c r="I122" s="380"/>
    </row>
    <row r="123" spans="2:9" x14ac:dyDescent="0.5">
      <c r="B123" s="375"/>
      <c r="C123" s="376"/>
      <c r="D123" s="376"/>
      <c r="E123" s="375"/>
      <c r="F123" s="375"/>
      <c r="G123" s="375"/>
      <c r="H123" s="380"/>
      <c r="I123" s="380"/>
    </row>
    <row r="124" spans="2:9" x14ac:dyDescent="0.5">
      <c r="B124" s="375"/>
      <c r="C124" s="376"/>
      <c r="D124" s="376"/>
      <c r="E124" s="375"/>
      <c r="F124" s="375"/>
      <c r="G124" s="375"/>
      <c r="H124" s="380"/>
      <c r="I124" s="380"/>
    </row>
    <row r="125" spans="2:9" x14ac:dyDescent="0.5">
      <c r="B125" s="375"/>
      <c r="C125" s="376"/>
      <c r="D125" s="376"/>
      <c r="E125" s="375"/>
      <c r="F125" s="375"/>
      <c r="G125" s="375"/>
      <c r="H125" s="380"/>
      <c r="I125" s="380"/>
    </row>
    <row r="126" spans="2:9" x14ac:dyDescent="0.5">
      <c r="B126" s="375"/>
      <c r="C126" s="376"/>
      <c r="D126" s="376"/>
      <c r="E126" s="375"/>
      <c r="F126" s="375"/>
      <c r="G126" s="375"/>
      <c r="H126" s="380"/>
      <c r="I126" s="380"/>
    </row>
    <row r="127" spans="2:9" s="380" customFormat="1" x14ac:dyDescent="0.5">
      <c r="B127" s="375"/>
      <c r="C127" s="376"/>
      <c r="D127" s="376"/>
      <c r="E127" s="375"/>
      <c r="F127" s="375"/>
      <c r="G127" s="375"/>
    </row>
    <row r="128" spans="2:9" s="380" customFormat="1" x14ac:dyDescent="0.5">
      <c r="B128" s="375"/>
      <c r="C128" s="376"/>
      <c r="D128" s="376"/>
      <c r="E128" s="375"/>
      <c r="F128" s="375"/>
      <c r="G128" s="375"/>
    </row>
    <row r="129" spans="2:9" x14ac:dyDescent="0.5">
      <c r="B129" s="375"/>
      <c r="C129" s="376"/>
      <c r="D129" s="376"/>
      <c r="E129" s="375"/>
      <c r="F129" s="375"/>
      <c r="G129" s="375"/>
      <c r="H129" s="380"/>
      <c r="I129" s="380"/>
    </row>
    <row r="130" spans="2:9" x14ac:dyDescent="0.5">
      <c r="B130" s="375"/>
      <c r="C130" s="376"/>
      <c r="D130" s="376"/>
      <c r="E130" s="375"/>
      <c r="F130" s="375"/>
      <c r="G130" s="375"/>
      <c r="H130" s="380"/>
      <c r="I130" s="380"/>
    </row>
    <row r="131" spans="2:9" x14ac:dyDescent="0.5">
      <c r="B131" s="375"/>
      <c r="C131" s="376"/>
      <c r="D131" s="376"/>
      <c r="E131" s="375"/>
      <c r="F131" s="375"/>
      <c r="G131" s="375"/>
      <c r="H131" s="380"/>
      <c r="I131" s="380"/>
    </row>
    <row r="132" spans="2:9" s="380" customFormat="1" x14ac:dyDescent="0.5">
      <c r="B132" s="375"/>
      <c r="C132" s="376"/>
      <c r="D132" s="376"/>
      <c r="E132" s="375"/>
      <c r="F132" s="375"/>
      <c r="G132" s="375"/>
    </row>
    <row r="133" spans="2:9" s="380" customFormat="1" x14ac:dyDescent="0.5">
      <c r="B133" s="375"/>
      <c r="C133" s="376"/>
      <c r="D133" s="376"/>
      <c r="E133" s="375"/>
      <c r="F133" s="375"/>
      <c r="G133" s="375"/>
    </row>
    <row r="134" spans="2:9" x14ac:dyDescent="0.5">
      <c r="B134" s="375"/>
      <c r="C134" s="376"/>
      <c r="D134" s="376"/>
      <c r="E134" s="375"/>
      <c r="F134" s="375"/>
      <c r="G134" s="375"/>
    </row>
    <row r="135" spans="2:9" x14ac:dyDescent="0.5">
      <c r="B135" s="375"/>
      <c r="C135" s="376"/>
      <c r="D135" s="376"/>
      <c r="E135" s="375"/>
      <c r="F135" s="375"/>
      <c r="G135" s="375"/>
    </row>
    <row r="136" spans="2:9" s="380" customFormat="1" x14ac:dyDescent="0.5">
      <c r="B136" s="377"/>
      <c r="C136" s="378"/>
      <c r="D136" s="378"/>
      <c r="E136" s="377"/>
      <c r="F136" s="377"/>
      <c r="G136" s="377"/>
    </row>
    <row r="137" spans="2:9" s="380" customFormat="1" x14ac:dyDescent="0.5">
      <c r="B137" s="377"/>
      <c r="C137" s="378"/>
      <c r="D137" s="378"/>
      <c r="E137" s="377"/>
      <c r="F137" s="377"/>
      <c r="G137" s="377"/>
    </row>
    <row r="138" spans="2:9" s="380" customFormat="1" x14ac:dyDescent="0.5">
      <c r="B138"/>
      <c r="C138"/>
      <c r="D138"/>
      <c r="E138"/>
      <c r="F138"/>
      <c r="G138"/>
    </row>
    <row r="139" spans="2:9" s="380" customFormat="1" x14ac:dyDescent="0.5">
      <c r="B139"/>
      <c r="C139"/>
      <c r="D139"/>
      <c r="E139"/>
      <c r="F139"/>
      <c r="G139"/>
    </row>
    <row r="140" spans="2:9" s="380" customFormat="1" x14ac:dyDescent="0.5">
      <c r="B140"/>
      <c r="C140"/>
      <c r="D140"/>
      <c r="E140"/>
      <c r="F140"/>
      <c r="G140"/>
    </row>
    <row r="141" spans="2:9" s="380" customFormat="1" x14ac:dyDescent="0.5">
      <c r="B141"/>
      <c r="C141"/>
      <c r="D141"/>
      <c r="E141"/>
      <c r="F141"/>
      <c r="G141"/>
    </row>
    <row r="142" spans="2:9" s="380" customFormat="1" x14ac:dyDescent="0.5">
      <c r="B142"/>
      <c r="C142"/>
      <c r="D142"/>
      <c r="E142"/>
      <c r="F142"/>
      <c r="G142"/>
    </row>
    <row r="143" spans="2:9" s="380" customFormat="1" x14ac:dyDescent="0.5">
      <c r="B143"/>
      <c r="C143"/>
      <c r="D143"/>
      <c r="E143"/>
      <c r="F143"/>
      <c r="G143"/>
    </row>
    <row r="144" spans="2:9" s="380" customFormat="1" x14ac:dyDescent="0.5">
      <c r="B144"/>
      <c r="C144"/>
      <c r="D144"/>
      <c r="E144"/>
      <c r="F144"/>
      <c r="G144"/>
    </row>
    <row r="146" spans="2:7" s="380" customFormat="1" x14ac:dyDescent="0.5">
      <c r="B146"/>
      <c r="C146"/>
      <c r="D146"/>
      <c r="E146"/>
      <c r="F146"/>
      <c r="G146"/>
    </row>
    <row r="148" spans="2:7" s="380" customFormat="1" x14ac:dyDescent="0.5">
      <c r="B148"/>
      <c r="C148"/>
      <c r="D148"/>
      <c r="E148"/>
      <c r="F148"/>
      <c r="G148"/>
    </row>
    <row r="151" spans="2:7" s="380" customFormat="1" x14ac:dyDescent="0.5">
      <c r="B151"/>
      <c r="C151"/>
      <c r="D151"/>
      <c r="E151"/>
      <c r="F151"/>
      <c r="G151"/>
    </row>
    <row r="153" spans="2:7" s="380" customFormat="1" x14ac:dyDescent="0.5">
      <c r="B153"/>
      <c r="C153"/>
      <c r="D153"/>
      <c r="E153"/>
      <c r="F153"/>
      <c r="G153"/>
    </row>
    <row r="155" spans="2:7" s="380" customFormat="1" x14ac:dyDescent="0.5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workbookViewId="0"/>
  </sheetViews>
  <sheetFormatPr defaultColWidth="0" defaultRowHeight="14.1" zeroHeight="1" x14ac:dyDescent="0.5"/>
  <cols>
    <col min="1" max="1" width="2.64453125" customWidth="1"/>
    <col min="2" max="18" width="8.9375" customWidth="1"/>
    <col min="19" max="19" width="2.64453125" customWidth="1"/>
    <col min="20" max="16384" width="8.9375" hidden="1"/>
  </cols>
  <sheetData>
    <row r="1" spans="2:18" x14ac:dyDescent="0.5"/>
    <row r="2" spans="2:18" ht="14.7" x14ac:dyDescent="0.6">
      <c r="B2" s="394" t="s">
        <v>991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</row>
    <row r="3" spans="2:18" x14ac:dyDescent="0.5"/>
    <row r="4" spans="2:18" x14ac:dyDescent="0.5"/>
    <row r="5" spans="2:18" x14ac:dyDescent="0.5"/>
    <row r="6" spans="2:18" x14ac:dyDescent="0.5">
      <c r="G6">
        <v>1</v>
      </c>
    </row>
    <row r="7" spans="2:18" x14ac:dyDescent="0.5"/>
    <row r="8" spans="2:18" x14ac:dyDescent="0.5"/>
    <row r="9" spans="2:18" x14ac:dyDescent="0.5"/>
    <row r="10" spans="2:18" x14ac:dyDescent="0.5"/>
    <row r="11" spans="2:18" x14ac:dyDescent="0.5"/>
    <row r="12" spans="2:18" x14ac:dyDescent="0.5"/>
    <row r="13" spans="2:18" x14ac:dyDescent="0.5"/>
    <row r="14" spans="2:18" x14ac:dyDescent="0.5"/>
    <row r="15" spans="2:18" x14ac:dyDescent="0.5"/>
    <row r="16" spans="2:18" x14ac:dyDescent="0.5"/>
    <row r="17" customFormat="1" x14ac:dyDescent="0.5"/>
    <row r="18" customFormat="1" x14ac:dyDescent="0.5"/>
    <row r="19" customFormat="1" x14ac:dyDescent="0.5"/>
    <row r="20" customFormat="1" x14ac:dyDescent="0.5"/>
    <row r="21" customFormat="1" x14ac:dyDescent="0.5"/>
    <row r="22" customFormat="1" x14ac:dyDescent="0.5"/>
    <row r="23" customFormat="1" x14ac:dyDescent="0.5"/>
    <row r="24" customFormat="1" x14ac:dyDescent="0.5"/>
    <row r="25" customFormat="1" x14ac:dyDescent="0.5"/>
    <row r="26" customFormat="1" x14ac:dyDescent="0.5"/>
    <row r="27" customFormat="1" x14ac:dyDescent="0.5"/>
    <row r="28" customFormat="1" x14ac:dyDescent="0.5"/>
    <row r="29" customFormat="1" x14ac:dyDescent="0.5"/>
    <row r="30" customFormat="1" x14ac:dyDescent="0.5"/>
    <row r="31" customFormat="1" x14ac:dyDescent="0.5"/>
    <row r="32" customFormat="1" x14ac:dyDescent="0.5"/>
    <row r="33" customFormat="1" x14ac:dyDescent="0.5"/>
    <row r="34" customFormat="1" hidden="1" x14ac:dyDescent="0.5"/>
    <row r="35" customFormat="1" hidden="1" x14ac:dyDescent="0.5"/>
  </sheetData>
  <mergeCells count="1">
    <mergeCell ref="B2:R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/>
  </sheetViews>
  <sheetFormatPr defaultColWidth="0" defaultRowHeight="14.1" x14ac:dyDescent="0.5"/>
  <cols>
    <col min="1" max="1" width="2.64453125" customWidth="1"/>
    <col min="2" max="3" width="45.64453125" customWidth="1"/>
    <col min="4" max="4" width="2.64453125" customWidth="1"/>
    <col min="5" max="5" width="0" hidden="1" customWidth="1"/>
    <col min="6" max="16384" width="8.9375" hidden="1"/>
  </cols>
  <sheetData>
    <row r="2" spans="2:3" ht="14.7" x14ac:dyDescent="0.6">
      <c r="B2" s="395" t="s">
        <v>989</v>
      </c>
      <c r="C2" s="395"/>
    </row>
    <row r="3" spans="2:3" ht="14.4" thickBot="1" x14ac:dyDescent="0.55000000000000004">
      <c r="B3" s="1"/>
      <c r="C3" s="1"/>
    </row>
    <row r="4" spans="2:3" ht="14.7" thickTop="1" thickBot="1" x14ac:dyDescent="0.55000000000000004">
      <c r="B4" s="355" t="s">
        <v>99</v>
      </c>
      <c r="C4" s="351" t="s">
        <v>990</v>
      </c>
    </row>
    <row r="5" spans="2:3" ht="14.4" thickTop="1" x14ac:dyDescent="0.5">
      <c r="B5" s="356" t="s">
        <v>985</v>
      </c>
      <c r="C5" s="357" t="str">
        <f>Input_Data!C5</f>
        <v>Trouser - Style 002</v>
      </c>
    </row>
    <row r="6" spans="2:3" x14ac:dyDescent="0.5">
      <c r="B6" s="356" t="s">
        <v>986</v>
      </c>
      <c r="C6" s="357" t="str">
        <f>Input_Data!C6</f>
        <v>NYTL</v>
      </c>
    </row>
    <row r="7" spans="2:3" x14ac:dyDescent="0.5">
      <c r="B7" s="356"/>
      <c r="C7" s="352"/>
    </row>
    <row r="8" spans="2:3" x14ac:dyDescent="0.5">
      <c r="B8" s="356"/>
      <c r="C8" s="352"/>
    </row>
    <row r="9" spans="2:3" x14ac:dyDescent="0.5">
      <c r="B9" s="356"/>
      <c r="C9" s="353"/>
    </row>
    <row r="10" spans="2:3" x14ac:dyDescent="0.5">
      <c r="B10" s="356"/>
      <c r="C10" s="353"/>
    </row>
    <row r="11" spans="2:3" x14ac:dyDescent="0.5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/>
  </sheetViews>
  <sheetFormatPr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1.1171875" style="1" customWidth="1"/>
    <col min="5" max="7" width="21.1171875" style="1" bestFit="1" customWidth="1"/>
    <col min="8" max="16384" width="8.9375" style="1"/>
  </cols>
  <sheetData>
    <row r="1" spans="2:7" x14ac:dyDescent="0.45">
      <c r="B1" s="2" t="s">
        <v>0</v>
      </c>
      <c r="C1" s="2"/>
      <c r="D1" s="2"/>
    </row>
    <row r="4" spans="2:7" x14ac:dyDescent="0.45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45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45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45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45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45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45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45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45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45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45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45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45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45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45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45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45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45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45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45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45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45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45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45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45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45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45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45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45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45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45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45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45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45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45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45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45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45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45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45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45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45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45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45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45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45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45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45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45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45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45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45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45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45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45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45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45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45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45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45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45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45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45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45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45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45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workbookViewId="0">
      <selection activeCell="D14" sqref="D14"/>
    </sheetView>
  </sheetViews>
  <sheetFormatPr defaultColWidth="0"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8.46875" style="1" bestFit="1" customWidth="1"/>
    <col min="5" max="7" width="21.1171875" style="1" bestFit="1" customWidth="1"/>
    <col min="8" max="9" width="8.9375" style="1" customWidth="1"/>
    <col min="10" max="10" width="0" style="1" hidden="1" customWidth="1"/>
    <col min="11" max="16384" width="8.9375" style="1" hidden="1"/>
  </cols>
  <sheetData>
    <row r="1" spans="2:7" x14ac:dyDescent="0.45">
      <c r="B1" s="2"/>
      <c r="C1" s="2"/>
      <c r="D1" s="2"/>
    </row>
    <row r="2" spans="2:7" ht="14.7" x14ac:dyDescent="0.6">
      <c r="B2" s="393" t="s">
        <v>988</v>
      </c>
      <c r="C2" s="393"/>
      <c r="D2" s="393"/>
      <c r="E2" s="393"/>
      <c r="F2" s="393"/>
      <c r="G2" s="393"/>
    </row>
    <row r="3" spans="2:7" x14ac:dyDescent="0.45">
      <c r="F3" s="7"/>
    </row>
    <row r="4" spans="2:7" x14ac:dyDescent="0.45">
      <c r="B4" s="391" t="s">
        <v>93</v>
      </c>
      <c r="C4" s="391" t="s">
        <v>94</v>
      </c>
      <c r="D4" s="391" t="s">
        <v>3</v>
      </c>
      <c r="E4" s="391" t="s">
        <v>1</v>
      </c>
      <c r="F4" s="391" t="s">
        <v>95</v>
      </c>
      <c r="G4" s="391" t="s">
        <v>2</v>
      </c>
    </row>
    <row r="5" spans="2:7" x14ac:dyDescent="0.45">
      <c r="B5" s="374">
        <v>1</v>
      </c>
      <c r="C5" s="392" t="s">
        <v>4</v>
      </c>
      <c r="D5" s="392" t="s">
        <v>5</v>
      </c>
      <c r="E5" s="374">
        <v>0</v>
      </c>
      <c r="F5" s="374">
        <v>0.315</v>
      </c>
      <c r="G5" s="374">
        <v>1</v>
      </c>
    </row>
    <row r="6" spans="2:7" x14ac:dyDescent="0.45">
      <c r="B6" s="374">
        <v>2</v>
      </c>
      <c r="C6" s="392" t="s">
        <v>6</v>
      </c>
      <c r="D6" s="392" t="s">
        <v>7</v>
      </c>
      <c r="E6" s="374" t="s">
        <v>994</v>
      </c>
      <c r="F6" s="374">
        <v>0.28299999999999997</v>
      </c>
      <c r="G6" s="374">
        <v>1</v>
      </c>
    </row>
    <row r="7" spans="2:7" ht="27.6" x14ac:dyDescent="0.45">
      <c r="B7" s="374">
        <v>3</v>
      </c>
      <c r="C7" s="392" t="s">
        <v>1090</v>
      </c>
      <c r="D7" s="392" t="s">
        <v>9</v>
      </c>
      <c r="E7" s="374" t="s">
        <v>996</v>
      </c>
      <c r="F7" s="374">
        <v>1.4630000000000001</v>
      </c>
      <c r="G7" s="374">
        <v>4</v>
      </c>
    </row>
    <row r="8" spans="2:7" x14ac:dyDescent="0.45">
      <c r="B8" s="374">
        <v>4</v>
      </c>
      <c r="C8" s="392" t="s">
        <v>10</v>
      </c>
      <c r="D8" s="392" t="s">
        <v>11</v>
      </c>
      <c r="E8" s="374">
        <v>0</v>
      </c>
      <c r="F8" s="374">
        <v>0.35199999999999998</v>
      </c>
      <c r="G8" s="374">
        <v>1</v>
      </c>
    </row>
    <row r="9" spans="2:7" x14ac:dyDescent="0.45">
      <c r="B9" s="374">
        <v>5</v>
      </c>
      <c r="C9" s="392" t="s">
        <v>12</v>
      </c>
      <c r="D9" s="392" t="s">
        <v>13</v>
      </c>
      <c r="E9" s="374" t="s">
        <v>997</v>
      </c>
      <c r="F9" s="374">
        <v>0.19800000000000001</v>
      </c>
      <c r="G9" s="374">
        <v>1</v>
      </c>
    </row>
    <row r="10" spans="2:7" ht="27.6" x14ac:dyDescent="0.45">
      <c r="B10" s="374">
        <v>6</v>
      </c>
      <c r="C10" s="392" t="s">
        <v>1091</v>
      </c>
      <c r="D10" s="392" t="s">
        <v>9</v>
      </c>
      <c r="E10" s="374" t="s">
        <v>83</v>
      </c>
      <c r="F10" s="374">
        <v>1.2679999999999998</v>
      </c>
      <c r="G10" s="374">
        <v>3</v>
      </c>
    </row>
    <row r="11" spans="2:7" x14ac:dyDescent="0.45">
      <c r="B11" s="374">
        <v>7</v>
      </c>
      <c r="C11" s="392" t="s">
        <v>1094</v>
      </c>
      <c r="D11" s="392" t="s">
        <v>9</v>
      </c>
      <c r="E11" s="374" t="s">
        <v>1037</v>
      </c>
      <c r="F11" s="374">
        <v>1.2769999999999999</v>
      </c>
      <c r="G11" s="374">
        <v>3</v>
      </c>
    </row>
    <row r="12" spans="2:7" x14ac:dyDescent="0.45">
      <c r="B12" s="374">
        <v>8</v>
      </c>
      <c r="C12" s="392" t="s">
        <v>1095</v>
      </c>
      <c r="D12" s="392" t="s">
        <v>20</v>
      </c>
      <c r="E12" s="374" t="s">
        <v>1000</v>
      </c>
      <c r="F12" s="374">
        <v>0.58699999999999997</v>
      </c>
      <c r="G12" s="374">
        <v>1</v>
      </c>
    </row>
    <row r="13" spans="2:7" x14ac:dyDescent="0.45">
      <c r="B13" s="374">
        <v>9</v>
      </c>
      <c r="C13" s="392" t="s">
        <v>22</v>
      </c>
      <c r="D13" s="392" t="s">
        <v>20</v>
      </c>
      <c r="E13" s="374">
        <v>0</v>
      </c>
      <c r="F13" s="374">
        <v>1.3560000000000001</v>
      </c>
      <c r="G13" s="374">
        <v>3</v>
      </c>
    </row>
    <row r="14" spans="2:7" x14ac:dyDescent="0.45">
      <c r="B14" s="374">
        <v>10</v>
      </c>
      <c r="C14" s="392" t="s">
        <v>24</v>
      </c>
      <c r="D14" s="392" t="s">
        <v>25</v>
      </c>
      <c r="E14" s="374" t="s">
        <v>1102</v>
      </c>
      <c r="F14" s="374">
        <v>0.247</v>
      </c>
      <c r="G14" s="374">
        <v>1</v>
      </c>
    </row>
    <row r="15" spans="2:7" x14ac:dyDescent="0.45">
      <c r="B15" s="374">
        <v>11</v>
      </c>
      <c r="C15" s="392" t="s">
        <v>27</v>
      </c>
      <c r="D15" s="392" t="s">
        <v>20</v>
      </c>
      <c r="E15" s="374">
        <v>0</v>
      </c>
      <c r="F15" s="374">
        <v>0.216</v>
      </c>
      <c r="G15" s="374">
        <v>1</v>
      </c>
    </row>
    <row r="16" spans="2:7" x14ac:dyDescent="0.45">
      <c r="B16" s="374">
        <v>12</v>
      </c>
      <c r="C16" s="392" t="s">
        <v>28</v>
      </c>
      <c r="D16" s="392" t="s">
        <v>5</v>
      </c>
      <c r="E16" s="374" t="s">
        <v>1004</v>
      </c>
      <c r="F16" s="374">
        <v>0.187</v>
      </c>
      <c r="G16" s="374">
        <v>1</v>
      </c>
    </row>
    <row r="17" spans="2:7" x14ac:dyDescent="0.45">
      <c r="B17" s="374">
        <v>13</v>
      </c>
      <c r="C17" s="392" t="s">
        <v>29</v>
      </c>
      <c r="D17" s="392" t="s">
        <v>9</v>
      </c>
      <c r="E17" s="374" t="s">
        <v>1005</v>
      </c>
      <c r="F17" s="374">
        <v>0.33100000000000002</v>
      </c>
      <c r="G17" s="374">
        <v>2</v>
      </c>
    </row>
    <row r="18" spans="2:7" x14ac:dyDescent="0.45">
      <c r="B18" s="374">
        <v>14</v>
      </c>
      <c r="C18" s="392" t="s">
        <v>30</v>
      </c>
      <c r="D18" s="392" t="s">
        <v>31</v>
      </c>
      <c r="E18" s="374" t="s">
        <v>1006</v>
      </c>
      <c r="F18" s="374">
        <v>0.24</v>
      </c>
      <c r="G18" s="374">
        <v>2</v>
      </c>
    </row>
    <row r="19" spans="2:7" x14ac:dyDescent="0.45">
      <c r="B19" s="374">
        <v>15</v>
      </c>
      <c r="C19" s="392" t="s">
        <v>32</v>
      </c>
      <c r="D19" s="392" t="s">
        <v>9</v>
      </c>
      <c r="E19" s="374" t="s">
        <v>1007</v>
      </c>
      <c r="F19" s="374">
        <v>0.42099999999999999</v>
      </c>
      <c r="G19" s="374">
        <v>2</v>
      </c>
    </row>
    <row r="20" spans="2:7" ht="27.6" x14ac:dyDescent="0.45">
      <c r="B20" s="374">
        <v>16</v>
      </c>
      <c r="C20" s="392" t="s">
        <v>1096</v>
      </c>
      <c r="D20" s="392" t="s">
        <v>20</v>
      </c>
      <c r="E20" s="374" t="s">
        <v>1000</v>
      </c>
      <c r="F20" s="374">
        <v>1.194</v>
      </c>
      <c r="G20" s="374">
        <v>3</v>
      </c>
    </row>
    <row r="21" spans="2:7" x14ac:dyDescent="0.45">
      <c r="B21" s="374">
        <v>17</v>
      </c>
      <c r="C21" s="392" t="s">
        <v>37</v>
      </c>
      <c r="D21" s="392" t="s">
        <v>13</v>
      </c>
      <c r="E21" s="374" t="s">
        <v>1103</v>
      </c>
      <c r="F21" s="374">
        <v>1.5309999999999999</v>
      </c>
      <c r="G21" s="374">
        <v>4</v>
      </c>
    </row>
    <row r="22" spans="2:7" x14ac:dyDescent="0.45">
      <c r="B22" s="374">
        <v>18</v>
      </c>
      <c r="C22" s="392" t="s">
        <v>38</v>
      </c>
      <c r="D22" s="392" t="s">
        <v>39</v>
      </c>
      <c r="E22" s="374" t="s">
        <v>1015</v>
      </c>
      <c r="F22" s="374">
        <v>1.091</v>
      </c>
      <c r="G22" s="374">
        <v>3</v>
      </c>
    </row>
    <row r="23" spans="2:7" x14ac:dyDescent="0.45">
      <c r="B23" s="374">
        <v>19</v>
      </c>
      <c r="C23" s="392" t="s">
        <v>40</v>
      </c>
      <c r="D23" s="392" t="s">
        <v>20</v>
      </c>
      <c r="E23" s="374" t="s">
        <v>1016</v>
      </c>
      <c r="F23" s="374">
        <v>0.36199999999999999</v>
      </c>
      <c r="G23" s="374">
        <v>1</v>
      </c>
    </row>
    <row r="24" spans="2:7" x14ac:dyDescent="0.45">
      <c r="B24" s="374">
        <v>20</v>
      </c>
      <c r="C24" s="392" t="s">
        <v>41</v>
      </c>
      <c r="D24" s="392" t="s">
        <v>20</v>
      </c>
      <c r="E24" s="374">
        <v>0</v>
      </c>
      <c r="F24" s="374">
        <v>0.23499999999999999</v>
      </c>
      <c r="G24" s="374">
        <v>1</v>
      </c>
    </row>
    <row r="25" spans="2:7" x14ac:dyDescent="0.45">
      <c r="B25" s="374">
        <v>21</v>
      </c>
      <c r="C25" s="392" t="s">
        <v>42</v>
      </c>
      <c r="D25" s="392" t="s">
        <v>9</v>
      </c>
      <c r="E25" s="374" t="s">
        <v>1014</v>
      </c>
      <c r="F25" s="374">
        <v>1.163</v>
      </c>
      <c r="G25" s="374">
        <v>3</v>
      </c>
    </row>
    <row r="26" spans="2:7" x14ac:dyDescent="0.45">
      <c r="B26" s="374">
        <v>22</v>
      </c>
      <c r="C26" s="392" t="s">
        <v>43</v>
      </c>
      <c r="D26" s="392" t="s">
        <v>9</v>
      </c>
      <c r="E26" s="374" t="s">
        <v>1020</v>
      </c>
      <c r="F26" s="374">
        <v>0.55800000000000005</v>
      </c>
      <c r="G26" s="374">
        <v>2</v>
      </c>
    </row>
    <row r="27" spans="2:7" x14ac:dyDescent="0.45">
      <c r="B27" s="374">
        <v>23</v>
      </c>
      <c r="C27" s="392" t="s">
        <v>44</v>
      </c>
      <c r="D27" s="392" t="s">
        <v>45</v>
      </c>
      <c r="E27" s="374" t="s">
        <v>1021</v>
      </c>
      <c r="F27" s="374">
        <v>0.23799999999999999</v>
      </c>
      <c r="G27" s="374">
        <v>1</v>
      </c>
    </row>
    <row r="28" spans="2:7" x14ac:dyDescent="0.45">
      <c r="B28" s="374">
        <v>24</v>
      </c>
      <c r="C28" s="392" t="s">
        <v>47</v>
      </c>
      <c r="D28" s="392" t="s">
        <v>48</v>
      </c>
      <c r="E28" s="374" t="s">
        <v>1024</v>
      </c>
      <c r="F28" s="374">
        <v>1.6519999999999999</v>
      </c>
      <c r="G28" s="374">
        <v>4</v>
      </c>
    </row>
    <row r="29" spans="2:7" x14ac:dyDescent="0.45">
      <c r="B29" s="374">
        <v>25</v>
      </c>
      <c r="C29" s="392" t="s">
        <v>49</v>
      </c>
      <c r="D29" s="392" t="s">
        <v>9</v>
      </c>
      <c r="E29" s="374" t="s">
        <v>1104</v>
      </c>
      <c r="F29" s="374">
        <v>1.2509999999999999</v>
      </c>
      <c r="G29" s="374">
        <v>3</v>
      </c>
    </row>
    <row r="30" spans="2:7" x14ac:dyDescent="0.45">
      <c r="B30" s="374">
        <v>26</v>
      </c>
      <c r="C30" s="392" t="s">
        <v>51</v>
      </c>
      <c r="D30" s="392" t="s">
        <v>5</v>
      </c>
      <c r="E30" s="374" t="s">
        <v>1019</v>
      </c>
      <c r="F30" s="374">
        <v>0.20200000000000001</v>
      </c>
      <c r="G30" s="374">
        <v>1</v>
      </c>
    </row>
    <row r="31" spans="2:7" ht="27.6" x14ac:dyDescent="0.45">
      <c r="B31" s="374">
        <v>27</v>
      </c>
      <c r="C31" s="392" t="s">
        <v>1092</v>
      </c>
      <c r="D31" s="392" t="s">
        <v>13</v>
      </c>
      <c r="E31" s="374" t="s">
        <v>1003</v>
      </c>
      <c r="F31" s="374">
        <v>1.2610000000000001</v>
      </c>
      <c r="G31" s="374">
        <v>3</v>
      </c>
    </row>
    <row r="32" spans="2:7" x14ac:dyDescent="0.45">
      <c r="B32" s="374">
        <v>28</v>
      </c>
      <c r="C32" s="392" t="s">
        <v>1093</v>
      </c>
      <c r="D32" s="392" t="s">
        <v>9</v>
      </c>
      <c r="E32" s="374" t="s">
        <v>1105</v>
      </c>
      <c r="F32" s="374">
        <v>1.431</v>
      </c>
      <c r="G32" s="374">
        <v>3</v>
      </c>
    </row>
    <row r="33" spans="2:7" ht="27.6" x14ac:dyDescent="0.45">
      <c r="B33" s="374">
        <v>29</v>
      </c>
      <c r="C33" s="392" t="s">
        <v>1097</v>
      </c>
      <c r="D33" s="392" t="s">
        <v>9</v>
      </c>
      <c r="E33" s="374" t="s">
        <v>1106</v>
      </c>
      <c r="F33" s="374">
        <v>1.4910000000000001</v>
      </c>
      <c r="G33" s="374">
        <v>3</v>
      </c>
    </row>
    <row r="34" spans="2:7" x14ac:dyDescent="0.45">
      <c r="B34" s="374">
        <v>30</v>
      </c>
      <c r="C34" s="392" t="s">
        <v>53</v>
      </c>
      <c r="D34" s="392" t="s">
        <v>31</v>
      </c>
      <c r="E34" s="374" t="s">
        <v>1024</v>
      </c>
      <c r="F34" s="374">
        <v>0.34899999999999998</v>
      </c>
      <c r="G34" s="374">
        <v>1</v>
      </c>
    </row>
    <row r="35" spans="2:7" x14ac:dyDescent="0.45">
      <c r="B35" s="374">
        <v>31</v>
      </c>
      <c r="C35" s="392" t="s">
        <v>54</v>
      </c>
      <c r="D35" s="392" t="s">
        <v>9</v>
      </c>
      <c r="E35" s="374" t="s">
        <v>1025</v>
      </c>
      <c r="F35" s="374">
        <v>0.39200000000000002</v>
      </c>
      <c r="G35" s="374">
        <v>1</v>
      </c>
    </row>
    <row r="36" spans="2:7" x14ac:dyDescent="0.45">
      <c r="B36" s="374">
        <v>32</v>
      </c>
      <c r="C36" s="392" t="s">
        <v>55</v>
      </c>
      <c r="D36" s="392" t="s">
        <v>9</v>
      </c>
      <c r="E36" s="374" t="s">
        <v>1107</v>
      </c>
      <c r="F36" s="374">
        <v>1.7210000000000001</v>
      </c>
      <c r="G36" s="374">
        <v>4</v>
      </c>
    </row>
    <row r="37" spans="2:7" x14ac:dyDescent="0.45">
      <c r="B37" s="374">
        <v>33</v>
      </c>
      <c r="C37" s="392" t="s">
        <v>56</v>
      </c>
      <c r="D37" s="392" t="s">
        <v>57</v>
      </c>
      <c r="E37" s="374" t="s">
        <v>1028</v>
      </c>
      <c r="F37" s="374">
        <v>1.56</v>
      </c>
      <c r="G37" s="374">
        <v>3</v>
      </c>
    </row>
    <row r="38" spans="2:7" x14ac:dyDescent="0.45">
      <c r="B38" s="374">
        <v>34</v>
      </c>
      <c r="C38" s="392" t="s">
        <v>58</v>
      </c>
      <c r="D38" s="392" t="s">
        <v>13</v>
      </c>
      <c r="E38" s="374" t="s">
        <v>1033</v>
      </c>
      <c r="F38" s="374">
        <v>0.65800000000000003</v>
      </c>
      <c r="G38" s="374">
        <v>2</v>
      </c>
    </row>
    <row r="39" spans="2:7" x14ac:dyDescent="0.45">
      <c r="B39" s="374">
        <v>35</v>
      </c>
      <c r="C39" s="392" t="s">
        <v>59</v>
      </c>
      <c r="D39" s="392" t="s">
        <v>60</v>
      </c>
      <c r="E39" s="374" t="s">
        <v>1034</v>
      </c>
      <c r="F39" s="374">
        <v>0.57599999999999996</v>
      </c>
      <c r="G39" s="374">
        <v>2</v>
      </c>
    </row>
    <row r="40" spans="2:7" x14ac:dyDescent="0.45">
      <c r="B40" s="374">
        <v>36</v>
      </c>
      <c r="C40" s="392" t="s">
        <v>61</v>
      </c>
      <c r="D40" s="392" t="s">
        <v>20</v>
      </c>
      <c r="E40" s="374">
        <v>0</v>
      </c>
      <c r="F40" s="374">
        <v>7.5999999999999998E-2</v>
      </c>
      <c r="G40" s="374">
        <v>1</v>
      </c>
    </row>
    <row r="41" spans="2:7" x14ac:dyDescent="0.45">
      <c r="B41" s="374">
        <v>37</v>
      </c>
      <c r="C41" s="392" t="s">
        <v>62</v>
      </c>
      <c r="D41" s="392" t="s">
        <v>9</v>
      </c>
      <c r="E41" s="374" t="s">
        <v>1030</v>
      </c>
      <c r="F41" s="374">
        <v>0.26</v>
      </c>
      <c r="G41" s="374">
        <v>2</v>
      </c>
    </row>
    <row r="42" spans="2:7" x14ac:dyDescent="0.45">
      <c r="B42" s="374">
        <v>38</v>
      </c>
      <c r="C42" s="392" t="s">
        <v>63</v>
      </c>
      <c r="D42" s="392" t="s">
        <v>31</v>
      </c>
      <c r="E42" s="374" t="s">
        <v>1031</v>
      </c>
      <c r="F42" s="374">
        <v>0.151</v>
      </c>
      <c r="G42" s="374">
        <v>1</v>
      </c>
    </row>
    <row r="43" spans="2:7" x14ac:dyDescent="0.45">
      <c r="B43" s="374">
        <v>39</v>
      </c>
      <c r="C43" s="392" t="s">
        <v>64</v>
      </c>
      <c r="D43" s="392" t="s">
        <v>9</v>
      </c>
      <c r="E43" s="374" t="s">
        <v>1035</v>
      </c>
      <c r="F43" s="374">
        <v>0.23300000000000001</v>
      </c>
      <c r="G43" s="374">
        <v>2</v>
      </c>
    </row>
    <row r="44" spans="2:7" x14ac:dyDescent="0.45">
      <c r="B44" s="374">
        <v>40</v>
      </c>
      <c r="C44" s="392" t="s">
        <v>65</v>
      </c>
      <c r="D44" s="392" t="s">
        <v>5</v>
      </c>
      <c r="E44" s="374" t="s">
        <v>1036</v>
      </c>
      <c r="F44" s="374">
        <v>9.5000000000000001E-2</v>
      </c>
      <c r="G44" s="374">
        <v>1</v>
      </c>
    </row>
    <row r="45" spans="2:7" x14ac:dyDescent="0.45">
      <c r="B45" s="374">
        <v>41</v>
      </c>
      <c r="C45" s="392" t="s">
        <v>66</v>
      </c>
      <c r="D45" s="392" t="s">
        <v>67</v>
      </c>
      <c r="E45" s="374">
        <v>0</v>
      </c>
      <c r="F45" s="374">
        <v>0.14899999999999999</v>
      </c>
      <c r="G45" s="374">
        <v>1</v>
      </c>
    </row>
    <row r="46" spans="2:7" x14ac:dyDescent="0.45">
      <c r="B46" s="374">
        <v>42</v>
      </c>
      <c r="C46" s="392" t="s">
        <v>68</v>
      </c>
      <c r="D46" s="392" t="s">
        <v>9</v>
      </c>
      <c r="E46" s="374" t="s">
        <v>1100</v>
      </c>
      <c r="F46" s="374">
        <v>1.819</v>
      </c>
      <c r="G46" s="374">
        <v>4</v>
      </c>
    </row>
    <row r="47" spans="2:7" x14ac:dyDescent="0.45">
      <c r="B47" s="374">
        <v>43</v>
      </c>
      <c r="C47" s="392" t="s">
        <v>69</v>
      </c>
      <c r="D47" s="392" t="s">
        <v>9</v>
      </c>
      <c r="E47" s="374" t="s">
        <v>1041</v>
      </c>
      <c r="F47" s="374">
        <v>1.129</v>
      </c>
      <c r="G47" s="374">
        <v>3</v>
      </c>
    </row>
    <row r="48" spans="2:7" x14ac:dyDescent="0.45">
      <c r="B48" s="374">
        <v>44</v>
      </c>
      <c r="C48" s="392" t="s">
        <v>70</v>
      </c>
      <c r="D48" s="392" t="s">
        <v>9</v>
      </c>
      <c r="E48" s="374" t="s">
        <v>1046</v>
      </c>
      <c r="F48" s="374">
        <v>1.474</v>
      </c>
      <c r="G48" s="374">
        <v>4</v>
      </c>
    </row>
    <row r="49" spans="2:7" x14ac:dyDescent="0.45">
      <c r="B49" s="374">
        <v>45</v>
      </c>
      <c r="C49" s="392" t="s">
        <v>71</v>
      </c>
      <c r="D49" s="392" t="s">
        <v>9</v>
      </c>
      <c r="E49" s="374" t="s">
        <v>1047</v>
      </c>
      <c r="F49" s="374">
        <v>1.6850000000000001</v>
      </c>
      <c r="G49" s="374">
        <v>4</v>
      </c>
    </row>
    <row r="50" spans="2:7" x14ac:dyDescent="0.45">
      <c r="B50" s="374">
        <v>46</v>
      </c>
      <c r="C50" s="392" t="s">
        <v>72</v>
      </c>
      <c r="D50" s="392" t="s">
        <v>13</v>
      </c>
      <c r="E50" s="374" t="s">
        <v>1017</v>
      </c>
      <c r="F50" s="374">
        <v>0.54800000000000004</v>
      </c>
      <c r="G50" s="374">
        <v>1</v>
      </c>
    </row>
    <row r="51" spans="2:7" x14ac:dyDescent="0.45">
      <c r="B51" s="374">
        <v>47</v>
      </c>
      <c r="C51" s="392" t="s">
        <v>1098</v>
      </c>
      <c r="D51" s="392" t="s">
        <v>20</v>
      </c>
      <c r="E51" s="374" t="s">
        <v>1018</v>
      </c>
      <c r="F51" s="374">
        <v>0.497</v>
      </c>
      <c r="G51" s="374">
        <v>1</v>
      </c>
    </row>
    <row r="52" spans="2:7" x14ac:dyDescent="0.45">
      <c r="B52" s="374">
        <v>48</v>
      </c>
      <c r="C52" s="392" t="s">
        <v>74</v>
      </c>
      <c r="D52" s="392" t="s">
        <v>39</v>
      </c>
      <c r="E52" s="374" t="s">
        <v>1042</v>
      </c>
      <c r="F52" s="374">
        <v>0.67100000000000004</v>
      </c>
      <c r="G52" s="374">
        <v>1</v>
      </c>
    </row>
    <row r="53" spans="2:7" x14ac:dyDescent="0.45">
      <c r="B53" s="374">
        <v>49</v>
      </c>
      <c r="C53" s="392" t="s">
        <v>76</v>
      </c>
      <c r="D53" s="392" t="s">
        <v>9</v>
      </c>
      <c r="E53" s="374" t="s">
        <v>1101</v>
      </c>
      <c r="F53" s="374">
        <v>1.252</v>
      </c>
      <c r="G53" s="374">
        <v>3</v>
      </c>
    </row>
    <row r="54" spans="2:7" x14ac:dyDescent="0.45">
      <c r="B54" s="374">
        <v>50</v>
      </c>
      <c r="C54" s="392" t="s">
        <v>77</v>
      </c>
      <c r="D54" s="392" t="s">
        <v>5</v>
      </c>
      <c r="E54" s="374" t="s">
        <v>1044</v>
      </c>
      <c r="F54" s="374">
        <v>0.52300000000000002</v>
      </c>
      <c r="G54" s="374">
        <v>1</v>
      </c>
    </row>
    <row r="55" spans="2:7" ht="27.6" x14ac:dyDescent="0.45">
      <c r="B55" s="374">
        <v>51</v>
      </c>
      <c r="C55" s="392" t="s">
        <v>1099</v>
      </c>
      <c r="D55" s="392" t="s">
        <v>9</v>
      </c>
      <c r="E55" s="374" t="s">
        <v>1048</v>
      </c>
      <c r="F55" s="374">
        <v>0.85199999999999998</v>
      </c>
      <c r="G55" s="374">
        <v>1</v>
      </c>
    </row>
    <row r="56" spans="2:7" x14ac:dyDescent="0.45">
      <c r="B56" s="374">
        <v>52</v>
      </c>
      <c r="C56" s="392" t="s">
        <v>80</v>
      </c>
      <c r="D56" s="392" t="s">
        <v>20</v>
      </c>
      <c r="E56" s="374" t="s">
        <v>1045</v>
      </c>
      <c r="F56" s="374">
        <v>0.88400000000000001</v>
      </c>
      <c r="G56" s="374">
        <v>1</v>
      </c>
    </row>
    <row r="57" spans="2:7" x14ac:dyDescent="0.45">
      <c r="B57" s="374">
        <v>53</v>
      </c>
      <c r="C57" s="392" t="s">
        <v>81</v>
      </c>
      <c r="D57" s="392" t="s">
        <v>9</v>
      </c>
      <c r="E57" s="374" t="s">
        <v>1049</v>
      </c>
      <c r="F57" s="374">
        <v>0.91300000000000003</v>
      </c>
      <c r="G57" s="374">
        <v>2</v>
      </c>
    </row>
    <row r="58" spans="2:7" x14ac:dyDescent="0.45">
      <c r="B58" s="374">
        <v>54</v>
      </c>
      <c r="C58" s="392" t="s">
        <v>82</v>
      </c>
      <c r="D58" s="392" t="s">
        <v>57</v>
      </c>
      <c r="E58" s="374" t="s">
        <v>1050</v>
      </c>
      <c r="F58" s="374">
        <v>0.89500000000000002</v>
      </c>
      <c r="G58" s="374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B5" sqref="B5:G17"/>
    </sheetView>
  </sheetViews>
  <sheetFormatPr defaultColWidth="0"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1.1171875" style="1" customWidth="1"/>
    <col min="5" max="7" width="21.1171875" style="1" bestFit="1" customWidth="1"/>
    <col min="8" max="10" width="8.9375" style="1" customWidth="1"/>
    <col min="11" max="16384" width="8.9375" style="1" hidden="1"/>
  </cols>
  <sheetData>
    <row r="1" spans="2:7" x14ac:dyDescent="0.45">
      <c r="B1" s="2" t="s">
        <v>0</v>
      </c>
      <c r="C1" s="2"/>
      <c r="D1" s="2"/>
    </row>
    <row r="4" spans="2:7" x14ac:dyDescent="0.45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45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45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45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45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45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45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45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45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45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45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45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45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45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344EC-CB17-47C0-91A8-125A03A3D659}">
  <sheetPr codeName="Sheet5"/>
  <dimension ref="A1:J25"/>
  <sheetViews>
    <sheetView showGridLines="0" workbookViewId="0">
      <selection activeCell="B5" sqref="B5:G19"/>
    </sheetView>
  </sheetViews>
  <sheetFormatPr defaultColWidth="0"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8.46875" style="1" bestFit="1" customWidth="1"/>
    <col min="5" max="7" width="21.1171875" style="1" bestFit="1" customWidth="1"/>
    <col min="8" max="10" width="8.9375" style="1" customWidth="1"/>
    <col min="11" max="16384" width="8.9375" style="1" hidden="1"/>
  </cols>
  <sheetData>
    <row r="1" spans="2:9" x14ac:dyDescent="0.45">
      <c r="B1" s="2" t="s">
        <v>0</v>
      </c>
      <c r="C1" s="2"/>
      <c r="D1" s="2"/>
    </row>
    <row r="4" spans="2:9" x14ac:dyDescent="0.45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9" x14ac:dyDescent="0.45">
      <c r="B5" s="4">
        <v>1</v>
      </c>
      <c r="C5" s="5" t="s">
        <v>113</v>
      </c>
      <c r="D5" s="5" t="s">
        <v>114</v>
      </c>
      <c r="E5" s="4">
        <v>0</v>
      </c>
      <c r="F5" s="6">
        <v>0.28999999999999998</v>
      </c>
      <c r="G5" s="4">
        <v>1</v>
      </c>
      <c r="I5" s="388"/>
    </row>
    <row r="6" spans="2:9" x14ac:dyDescent="0.45">
      <c r="B6" s="4">
        <v>2</v>
      </c>
      <c r="C6" s="5" t="s">
        <v>115</v>
      </c>
      <c r="D6" s="5" t="s">
        <v>116</v>
      </c>
      <c r="E6" s="4">
        <v>0</v>
      </c>
      <c r="F6" s="6">
        <v>0.08</v>
      </c>
      <c r="G6" s="4">
        <v>1</v>
      </c>
      <c r="I6" s="388"/>
    </row>
    <row r="7" spans="2:9" x14ac:dyDescent="0.45">
      <c r="B7" s="4">
        <v>3</v>
      </c>
      <c r="C7" s="5" t="s">
        <v>117</v>
      </c>
      <c r="D7" s="5" t="s">
        <v>114</v>
      </c>
      <c r="E7" s="4" t="s">
        <v>134</v>
      </c>
      <c r="F7" s="6">
        <v>0.34</v>
      </c>
      <c r="G7" s="4">
        <v>2</v>
      </c>
      <c r="I7" s="388"/>
    </row>
    <row r="8" spans="2:9" x14ac:dyDescent="0.45">
      <c r="B8" s="4">
        <v>4</v>
      </c>
      <c r="C8" s="5" t="s">
        <v>118</v>
      </c>
      <c r="D8" s="5" t="s">
        <v>116</v>
      </c>
      <c r="E8" s="4">
        <v>3</v>
      </c>
      <c r="F8" s="6">
        <v>0.25</v>
      </c>
      <c r="G8" s="4">
        <v>1</v>
      </c>
      <c r="I8" s="388"/>
    </row>
    <row r="9" spans="2:9" x14ac:dyDescent="0.45">
      <c r="B9" s="4">
        <v>5</v>
      </c>
      <c r="C9" s="5" t="s">
        <v>119</v>
      </c>
      <c r="D9" s="5" t="s">
        <v>120</v>
      </c>
      <c r="E9" s="4">
        <v>4</v>
      </c>
      <c r="F9" s="6">
        <v>0.35</v>
      </c>
      <c r="G9" s="4">
        <v>2</v>
      </c>
      <c r="I9" s="388"/>
    </row>
    <row r="10" spans="2:9" x14ac:dyDescent="0.45">
      <c r="B10" s="4">
        <v>6</v>
      </c>
      <c r="C10" s="5" t="s">
        <v>121</v>
      </c>
      <c r="D10" s="5" t="s">
        <v>122</v>
      </c>
      <c r="E10" s="4">
        <v>5</v>
      </c>
      <c r="F10" s="6">
        <v>0.08</v>
      </c>
      <c r="G10" s="4">
        <v>1</v>
      </c>
      <c r="I10" s="388"/>
    </row>
    <row r="11" spans="2:9" x14ac:dyDescent="0.45">
      <c r="B11" s="4">
        <v>7</v>
      </c>
      <c r="C11" s="5" t="s">
        <v>123</v>
      </c>
      <c r="D11" s="5" t="s">
        <v>114</v>
      </c>
      <c r="E11" s="4">
        <v>6</v>
      </c>
      <c r="F11" s="6">
        <v>0.36</v>
      </c>
      <c r="G11" s="4">
        <v>2</v>
      </c>
      <c r="I11" s="388"/>
    </row>
    <row r="12" spans="2:9" x14ac:dyDescent="0.45">
      <c r="B12" s="4">
        <v>8</v>
      </c>
      <c r="C12" s="5" t="s">
        <v>124</v>
      </c>
      <c r="D12" s="5" t="s">
        <v>116</v>
      </c>
      <c r="E12" s="4">
        <v>0</v>
      </c>
      <c r="F12" s="6">
        <v>0.09</v>
      </c>
      <c r="G12" s="4">
        <v>1</v>
      </c>
      <c r="I12" s="388"/>
    </row>
    <row r="13" spans="2:9" x14ac:dyDescent="0.45">
      <c r="B13" s="4">
        <v>9</v>
      </c>
      <c r="C13" s="5" t="s">
        <v>125</v>
      </c>
      <c r="D13" s="5" t="s">
        <v>114</v>
      </c>
      <c r="E13" s="4" t="s">
        <v>135</v>
      </c>
      <c r="F13" s="6">
        <v>0.43</v>
      </c>
      <c r="G13" s="4">
        <v>2</v>
      </c>
      <c r="I13" s="388"/>
    </row>
    <row r="14" spans="2:9" x14ac:dyDescent="0.45">
      <c r="B14" s="4">
        <v>10</v>
      </c>
      <c r="C14" s="5" t="s">
        <v>126</v>
      </c>
      <c r="D14" s="5" t="s">
        <v>127</v>
      </c>
      <c r="E14" s="4">
        <v>9</v>
      </c>
      <c r="F14" s="6">
        <v>0.42</v>
      </c>
      <c r="G14" s="4">
        <v>2</v>
      </c>
      <c r="I14" s="388"/>
    </row>
    <row r="15" spans="2:9" x14ac:dyDescent="0.45">
      <c r="B15" s="4">
        <v>11</v>
      </c>
      <c r="C15" s="5" t="s">
        <v>128</v>
      </c>
      <c r="D15" s="5" t="s">
        <v>116</v>
      </c>
      <c r="E15" s="4">
        <v>10</v>
      </c>
      <c r="F15" s="6">
        <v>0.13</v>
      </c>
      <c r="G15" s="4">
        <v>1</v>
      </c>
      <c r="I15" s="388"/>
    </row>
    <row r="16" spans="2:9" x14ac:dyDescent="0.45">
      <c r="B16" s="4">
        <v>12</v>
      </c>
      <c r="C16" s="5" t="s">
        <v>129</v>
      </c>
      <c r="D16" s="5" t="s">
        <v>127</v>
      </c>
      <c r="E16" s="4">
        <v>11</v>
      </c>
      <c r="F16" s="6">
        <v>0.33</v>
      </c>
      <c r="G16" s="4">
        <v>2</v>
      </c>
      <c r="I16" s="388"/>
    </row>
    <row r="17" spans="2:9" x14ac:dyDescent="0.45">
      <c r="B17" s="4">
        <v>13</v>
      </c>
      <c r="C17" s="5" t="s">
        <v>130</v>
      </c>
      <c r="D17" s="5" t="s">
        <v>116</v>
      </c>
      <c r="E17" s="4">
        <v>12</v>
      </c>
      <c r="F17" s="6">
        <v>0.06</v>
      </c>
      <c r="G17" s="4">
        <v>1</v>
      </c>
      <c r="I17" s="388"/>
    </row>
    <row r="18" spans="2:9" x14ac:dyDescent="0.45">
      <c r="B18" s="4">
        <v>14</v>
      </c>
      <c r="C18" s="5" t="s">
        <v>131</v>
      </c>
      <c r="D18" s="5" t="s">
        <v>116</v>
      </c>
      <c r="E18" s="4">
        <v>13</v>
      </c>
      <c r="F18" s="6">
        <v>0.25</v>
      </c>
      <c r="G18" s="4">
        <v>1</v>
      </c>
      <c r="I18" s="388"/>
    </row>
    <row r="19" spans="2:9" x14ac:dyDescent="0.45">
      <c r="B19" s="4">
        <v>15</v>
      </c>
      <c r="C19" s="5" t="s">
        <v>132</v>
      </c>
      <c r="D19" s="5" t="s">
        <v>133</v>
      </c>
      <c r="E19" s="4">
        <v>14</v>
      </c>
      <c r="F19" s="6">
        <v>0.45</v>
      </c>
      <c r="G19" s="4">
        <v>1</v>
      </c>
      <c r="I19" s="388"/>
    </row>
    <row r="20" spans="2:9" x14ac:dyDescent="0.45">
      <c r="I20" s="388"/>
    </row>
    <row r="21" spans="2:9" x14ac:dyDescent="0.45">
      <c r="F21" s="388"/>
    </row>
    <row r="22" spans="2:9" ht="14.1" x14ac:dyDescent="0.5">
      <c r="D22"/>
    </row>
    <row r="25" spans="2:9" x14ac:dyDescent="0.45">
      <c r="G25" s="358"/>
    </row>
  </sheetData>
  <autoFilter ref="B4:G8" xr:uid="{27C4F486-F05D-4A5B-8C6B-9D3ACE1165DB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4.1" x14ac:dyDescent="0.5"/>
  <sheetData>
    <row r="1" spans="1:13" x14ac:dyDescent="0.5">
      <c r="A1" s="13" t="s">
        <v>136</v>
      </c>
      <c r="B1" s="14" t="s">
        <v>137</v>
      </c>
      <c r="C1" s="15" t="s">
        <v>138</v>
      </c>
      <c r="D1" s="15" t="s">
        <v>139</v>
      </c>
      <c r="E1" s="16" t="s">
        <v>140</v>
      </c>
      <c r="F1" s="349"/>
      <c r="G1" s="349"/>
      <c r="H1" s="349"/>
      <c r="I1" s="14" t="s">
        <v>141</v>
      </c>
      <c r="J1" s="15" t="s">
        <v>142</v>
      </c>
      <c r="K1" s="15" t="s">
        <v>143</v>
      </c>
      <c r="L1" s="15" t="s">
        <v>142</v>
      </c>
      <c r="M1" s="16" t="s">
        <v>144</v>
      </c>
    </row>
    <row r="2" spans="1:13" ht="14.4" hidden="1" x14ac:dyDescent="0.5">
      <c r="A2" s="17" t="s">
        <v>145</v>
      </c>
      <c r="B2" s="18" t="s">
        <v>146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147</v>
      </c>
      <c r="J2" s="19">
        <v>1</v>
      </c>
      <c r="K2" s="19">
        <v>0.37</v>
      </c>
      <c r="L2" s="19">
        <v>1</v>
      </c>
      <c r="M2" s="20">
        <v>0.73</v>
      </c>
    </row>
    <row r="3" spans="1:13" ht="14.4" x14ac:dyDescent="0.5">
      <c r="A3" s="22" t="s">
        <v>148</v>
      </c>
      <c r="B3" s="18" t="s">
        <v>149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150</v>
      </c>
      <c r="J3" s="19">
        <v>0.76</v>
      </c>
      <c r="K3" s="19">
        <v>0.43</v>
      </c>
      <c r="L3" s="19">
        <v>0.76</v>
      </c>
      <c r="M3" s="20">
        <v>0.43</v>
      </c>
    </row>
    <row r="4" spans="1:13" ht="14.4" hidden="1" x14ac:dyDescent="0.5">
      <c r="A4" s="23" t="s">
        <v>151</v>
      </c>
      <c r="B4" s="18" t="s">
        <v>152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153</v>
      </c>
      <c r="J4" s="19">
        <v>0.7</v>
      </c>
      <c r="K4" s="19">
        <v>0.7</v>
      </c>
      <c r="L4" s="19">
        <v>0.47</v>
      </c>
      <c r="M4" s="20">
        <v>0.91</v>
      </c>
    </row>
    <row r="5" spans="1:13" ht="14.4" hidden="1" x14ac:dyDescent="0.5">
      <c r="A5" s="24" t="s">
        <v>154</v>
      </c>
      <c r="B5" s="18" t="s">
        <v>155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156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ht="14.4" x14ac:dyDescent="0.5">
      <c r="A6" s="26" t="s">
        <v>157</v>
      </c>
      <c r="B6" s="18" t="s">
        <v>158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159</v>
      </c>
      <c r="J6" s="19">
        <v>0.31</v>
      </c>
      <c r="K6" s="19">
        <v>0.63</v>
      </c>
      <c r="L6" s="19">
        <v>0.31</v>
      </c>
      <c r="M6" s="20">
        <v>0.75</v>
      </c>
    </row>
    <row r="7" spans="1:13" ht="14.4" hidden="1" x14ac:dyDescent="0.5">
      <c r="A7" s="27" t="s">
        <v>160</v>
      </c>
      <c r="B7" s="18" t="s">
        <v>161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162</v>
      </c>
      <c r="J7" s="19">
        <v>0.39</v>
      </c>
      <c r="K7" s="19">
        <v>0.6</v>
      </c>
      <c r="L7" s="19">
        <v>0.41</v>
      </c>
      <c r="M7" s="20">
        <v>0.76</v>
      </c>
    </row>
    <row r="8" spans="1:13" ht="14.4" hidden="1" x14ac:dyDescent="0.5">
      <c r="A8" s="28" t="s">
        <v>163</v>
      </c>
      <c r="B8" s="18" t="s">
        <v>164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165</v>
      </c>
      <c r="J8" s="19">
        <v>0.27</v>
      </c>
      <c r="K8" s="19">
        <v>0.9</v>
      </c>
      <c r="L8" s="19">
        <v>0.06</v>
      </c>
      <c r="M8" s="20">
        <v>0.93</v>
      </c>
    </row>
    <row r="9" spans="1:13" ht="14.4" hidden="1" x14ac:dyDescent="0.5">
      <c r="A9" s="29" t="s">
        <v>166</v>
      </c>
      <c r="B9" s="18" t="s">
        <v>167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168</v>
      </c>
      <c r="J9" s="19">
        <v>1</v>
      </c>
      <c r="K9" s="19">
        <v>0.97</v>
      </c>
      <c r="L9" s="19">
        <v>0.06</v>
      </c>
      <c r="M9" s="20">
        <v>1</v>
      </c>
    </row>
    <row r="10" spans="1:13" ht="14.4" hidden="1" x14ac:dyDescent="0.5">
      <c r="A10" s="30" t="s">
        <v>169</v>
      </c>
      <c r="B10" s="18" t="s">
        <v>170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171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t="14.4" hidden="1" x14ac:dyDescent="0.5">
      <c r="A11" s="31" t="s">
        <v>172</v>
      </c>
      <c r="B11" s="18" t="s">
        <v>173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174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t="14.4" hidden="1" x14ac:dyDescent="0.5">
      <c r="A12" s="32" t="s">
        <v>175</v>
      </c>
      <c r="B12" s="18" t="s">
        <v>176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177</v>
      </c>
      <c r="J12" s="19">
        <v>0.78</v>
      </c>
      <c r="K12" s="19">
        <v>0.53</v>
      </c>
      <c r="L12" s="19">
        <v>0.81</v>
      </c>
      <c r="M12" s="20">
        <v>0.9</v>
      </c>
    </row>
    <row r="13" spans="1:13" ht="14.4" x14ac:dyDescent="0.5">
      <c r="A13" s="33" t="s">
        <v>178</v>
      </c>
      <c r="B13" s="18" t="s">
        <v>179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180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t="14.4" hidden="1" x14ac:dyDescent="0.5">
      <c r="A14" s="34" t="s">
        <v>181</v>
      </c>
      <c r="B14" s="18" t="s">
        <v>182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183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ht="14.4" x14ac:dyDescent="0.5">
      <c r="A15" s="35" t="s">
        <v>184</v>
      </c>
      <c r="B15" s="18" t="s">
        <v>185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186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t="14.4" hidden="1" x14ac:dyDescent="0.5">
      <c r="A16" s="36" t="s">
        <v>187</v>
      </c>
      <c r="B16" s="18" t="s">
        <v>188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189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ht="14.4" x14ac:dyDescent="0.5">
      <c r="A17" s="37" t="s">
        <v>190</v>
      </c>
      <c r="B17" s="18" t="s">
        <v>191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192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t="14.4" hidden="1" x14ac:dyDescent="0.5">
      <c r="A18" s="38" t="s">
        <v>193</v>
      </c>
      <c r="B18" s="18" t="s">
        <v>194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195</v>
      </c>
      <c r="J18" s="19">
        <v>1</v>
      </c>
      <c r="K18" s="19">
        <v>0.5</v>
      </c>
      <c r="L18" s="19">
        <v>1</v>
      </c>
      <c r="M18" s="20">
        <v>1</v>
      </c>
    </row>
    <row r="19" spans="1:13" ht="14.4" hidden="1" x14ac:dyDescent="0.5">
      <c r="A19" s="39" t="s">
        <v>196</v>
      </c>
      <c r="B19" s="18" t="s">
        <v>197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174</v>
      </c>
      <c r="J19" s="19">
        <v>1</v>
      </c>
      <c r="K19" s="19">
        <v>0.5</v>
      </c>
      <c r="L19" s="19">
        <v>1</v>
      </c>
      <c r="M19" s="20">
        <v>1</v>
      </c>
    </row>
    <row r="20" spans="1:13" ht="14.4" hidden="1" x14ac:dyDescent="0.5">
      <c r="A20" s="40" t="s">
        <v>198</v>
      </c>
      <c r="B20" s="18" t="s">
        <v>199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200</v>
      </c>
      <c r="J20" s="19">
        <v>0.5</v>
      </c>
      <c r="K20" s="19">
        <v>0.6</v>
      </c>
      <c r="L20" s="19">
        <v>0.5</v>
      </c>
      <c r="M20" s="20">
        <v>0.8</v>
      </c>
    </row>
    <row r="21" spans="1:13" ht="14.4" hidden="1" x14ac:dyDescent="0.5">
      <c r="A21" s="41" t="s">
        <v>201</v>
      </c>
      <c r="B21" s="18" t="s">
        <v>202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203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t="14.4" hidden="1" x14ac:dyDescent="0.5">
      <c r="A22" s="42" t="s">
        <v>204</v>
      </c>
      <c r="B22" s="18" t="s">
        <v>205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206</v>
      </c>
      <c r="J22" s="19">
        <v>0.47</v>
      </c>
      <c r="K22" s="19">
        <v>0.63</v>
      </c>
      <c r="L22" s="19">
        <v>0.43</v>
      </c>
      <c r="M22" s="20">
        <v>0.8</v>
      </c>
    </row>
    <row r="23" spans="1:13" ht="14.4" x14ac:dyDescent="0.5">
      <c r="A23" s="43" t="s">
        <v>207</v>
      </c>
      <c r="B23" s="18" t="s">
        <v>208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209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ht="14.4" x14ac:dyDescent="0.5">
      <c r="A24" s="44" t="s">
        <v>210</v>
      </c>
      <c r="B24" s="18" t="s">
        <v>211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212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ht="14.4" x14ac:dyDescent="0.5">
      <c r="A25" s="45" t="s">
        <v>213</v>
      </c>
      <c r="B25" s="18" t="s">
        <v>214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215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t="14.4" hidden="1" x14ac:dyDescent="0.5">
      <c r="A26" s="46" t="s">
        <v>216</v>
      </c>
      <c r="B26" s="18" t="s">
        <v>217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218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t="14.4" hidden="1" x14ac:dyDescent="0.5">
      <c r="A27" s="47" t="s">
        <v>219</v>
      </c>
      <c r="B27" s="18" t="s">
        <v>220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221</v>
      </c>
      <c r="J27" s="19">
        <v>1</v>
      </c>
      <c r="K27" s="19">
        <v>0.25</v>
      </c>
      <c r="L27" s="19">
        <v>1</v>
      </c>
      <c r="M27" s="20">
        <v>0.5</v>
      </c>
    </row>
    <row r="28" spans="1:13" ht="14.4" hidden="1" x14ac:dyDescent="0.5">
      <c r="A28" s="48" t="s">
        <v>222</v>
      </c>
      <c r="B28" s="18" t="s">
        <v>223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203</v>
      </c>
      <c r="J28" s="19">
        <v>1</v>
      </c>
      <c r="K28" s="19">
        <v>0.36</v>
      </c>
      <c r="L28" s="19">
        <v>1</v>
      </c>
      <c r="M28" s="20">
        <v>0.71</v>
      </c>
    </row>
    <row r="29" spans="1:13" ht="14.4" hidden="1" x14ac:dyDescent="0.5">
      <c r="A29" s="49" t="s">
        <v>224</v>
      </c>
      <c r="B29" s="18" t="s">
        <v>225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226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t="14.4" hidden="1" x14ac:dyDescent="0.5">
      <c r="A30" s="50" t="s">
        <v>227</v>
      </c>
      <c r="B30" s="18" t="s">
        <v>228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229</v>
      </c>
      <c r="J30" s="19">
        <v>1</v>
      </c>
      <c r="K30" s="19">
        <v>0.5</v>
      </c>
      <c r="L30" s="19">
        <v>1</v>
      </c>
      <c r="M30" s="20">
        <v>1</v>
      </c>
    </row>
    <row r="31" spans="1:13" ht="14.4" hidden="1" x14ac:dyDescent="0.5">
      <c r="A31" s="51" t="s">
        <v>230</v>
      </c>
      <c r="B31" s="18" t="s">
        <v>231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232</v>
      </c>
      <c r="J31" s="19">
        <v>1</v>
      </c>
      <c r="K31" s="19">
        <v>0.75</v>
      </c>
      <c r="L31" s="19">
        <v>0.5</v>
      </c>
      <c r="M31" s="20">
        <v>1</v>
      </c>
    </row>
    <row r="32" spans="1:13" ht="14.4" hidden="1" x14ac:dyDescent="0.5">
      <c r="A32" s="52" t="s">
        <v>233</v>
      </c>
      <c r="B32" s="18" t="s">
        <v>234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235</v>
      </c>
      <c r="J32" s="19">
        <v>1</v>
      </c>
      <c r="K32" s="19">
        <v>0.54</v>
      </c>
      <c r="L32" s="19">
        <v>0.92</v>
      </c>
      <c r="M32" s="20">
        <v>1</v>
      </c>
    </row>
    <row r="33" spans="1:13" ht="14.4" x14ac:dyDescent="0.5">
      <c r="A33" s="53" t="s">
        <v>236</v>
      </c>
      <c r="B33" s="18" t="s">
        <v>237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238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ht="14.4" x14ac:dyDescent="0.5">
      <c r="A34" s="54" t="s">
        <v>239</v>
      </c>
      <c r="B34" s="18" t="s">
        <v>240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241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t="14.4" hidden="1" x14ac:dyDescent="0.5">
      <c r="A35" s="55" t="s">
        <v>242</v>
      </c>
      <c r="B35" s="18" t="s">
        <v>243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244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ht="14.4" x14ac:dyDescent="0.5">
      <c r="A36" s="56" t="s">
        <v>245</v>
      </c>
      <c r="B36" s="18" t="s">
        <v>246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247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ht="14.4" x14ac:dyDescent="0.5">
      <c r="A37" s="57" t="s">
        <v>248</v>
      </c>
      <c r="B37" s="18" t="s">
        <v>249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250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t="14.4" hidden="1" x14ac:dyDescent="0.5">
      <c r="A38" s="58" t="s">
        <v>251</v>
      </c>
      <c r="B38" s="18" t="s">
        <v>252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253</v>
      </c>
      <c r="J38" s="19">
        <v>1</v>
      </c>
      <c r="K38" s="19">
        <v>0.7</v>
      </c>
      <c r="L38" s="19">
        <v>0.6</v>
      </c>
      <c r="M38" s="20">
        <v>1</v>
      </c>
    </row>
    <row r="39" spans="1:13" ht="14.4" x14ac:dyDescent="0.5">
      <c r="A39" s="59" t="s">
        <v>254</v>
      </c>
      <c r="B39" s="18" t="s">
        <v>255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256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t="14.4" hidden="1" x14ac:dyDescent="0.5">
      <c r="A40" s="60" t="s">
        <v>257</v>
      </c>
      <c r="B40" s="18" t="s">
        <v>258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259</v>
      </c>
      <c r="J40" s="19">
        <v>1</v>
      </c>
      <c r="K40" s="19">
        <v>0.5</v>
      </c>
      <c r="L40" s="19">
        <v>1</v>
      </c>
      <c r="M40" s="20">
        <v>0.99</v>
      </c>
    </row>
    <row r="41" spans="1:13" ht="14.4" hidden="1" x14ac:dyDescent="0.5">
      <c r="A41" s="61" t="s">
        <v>260</v>
      </c>
      <c r="B41" s="18" t="s">
        <v>261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262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t="14.4" hidden="1" x14ac:dyDescent="0.5">
      <c r="A42" s="62" t="s">
        <v>263</v>
      </c>
      <c r="B42" s="18" t="s">
        <v>264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265</v>
      </c>
      <c r="J42" s="19">
        <v>1</v>
      </c>
      <c r="K42" s="19">
        <v>0.5</v>
      </c>
      <c r="L42" s="19">
        <v>1</v>
      </c>
      <c r="M42" s="20">
        <v>1</v>
      </c>
    </row>
    <row r="43" spans="1:13" ht="14.4" hidden="1" x14ac:dyDescent="0.5">
      <c r="A43" s="63" t="s">
        <v>266</v>
      </c>
      <c r="B43" s="18" t="s">
        <v>267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229</v>
      </c>
      <c r="J43" s="19">
        <v>1</v>
      </c>
      <c r="K43" s="19">
        <v>0.97</v>
      </c>
      <c r="L43" s="19">
        <v>0.06</v>
      </c>
      <c r="M43" s="20">
        <v>1</v>
      </c>
    </row>
    <row r="44" spans="1:13" ht="14.4" hidden="1" x14ac:dyDescent="0.5">
      <c r="A44" s="64" t="s">
        <v>268</v>
      </c>
      <c r="B44" s="18" t="s">
        <v>269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270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t="14.4" hidden="1" x14ac:dyDescent="0.5">
      <c r="A45" s="65" t="s">
        <v>271</v>
      </c>
      <c r="B45" s="18" t="s">
        <v>272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273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t="14.4" hidden="1" x14ac:dyDescent="0.5">
      <c r="A46" s="66" t="s">
        <v>274</v>
      </c>
      <c r="B46" s="18" t="s">
        <v>275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256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t="14.4" hidden="1" x14ac:dyDescent="0.5">
      <c r="A47" s="67" t="s">
        <v>276</v>
      </c>
      <c r="B47" s="18" t="s">
        <v>277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278</v>
      </c>
      <c r="J47" s="19">
        <v>0.67</v>
      </c>
      <c r="K47" s="19">
        <v>0.99</v>
      </c>
      <c r="L47" s="19">
        <v>0.02</v>
      </c>
      <c r="M47" s="20">
        <v>1</v>
      </c>
    </row>
    <row r="48" spans="1:13" ht="14.4" hidden="1" x14ac:dyDescent="0.5">
      <c r="A48" s="68" t="s">
        <v>279</v>
      </c>
      <c r="B48" s="18" t="s">
        <v>280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281</v>
      </c>
      <c r="J48" s="19">
        <v>1</v>
      </c>
      <c r="K48" s="19">
        <v>0.78</v>
      </c>
      <c r="L48" s="19">
        <v>0.43</v>
      </c>
      <c r="M48" s="20">
        <v>1</v>
      </c>
    </row>
    <row r="49" spans="1:13" ht="14.4" hidden="1" x14ac:dyDescent="0.5">
      <c r="A49" s="69" t="s">
        <v>282</v>
      </c>
      <c r="B49" s="18" t="s">
        <v>283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284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t="14.4" hidden="1" x14ac:dyDescent="0.5">
      <c r="A50" s="70" t="s">
        <v>285</v>
      </c>
      <c r="B50" s="18" t="s">
        <v>286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287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t="14.4" hidden="1" x14ac:dyDescent="0.5">
      <c r="A51" s="71" t="s">
        <v>288</v>
      </c>
      <c r="B51" s="18" t="s">
        <v>289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290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ht="14.4" x14ac:dyDescent="0.5">
      <c r="A52" s="72" t="s">
        <v>291</v>
      </c>
      <c r="B52" s="18" t="s">
        <v>292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278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t="14.4" hidden="1" x14ac:dyDescent="0.5">
      <c r="A53" s="73" t="s">
        <v>293</v>
      </c>
      <c r="B53" s="18" t="s">
        <v>294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153</v>
      </c>
      <c r="J53" s="19">
        <v>0.46</v>
      </c>
      <c r="K53" s="19">
        <v>0.82</v>
      </c>
      <c r="L53" s="19">
        <v>0.18</v>
      </c>
      <c r="M53" s="20">
        <v>0.9</v>
      </c>
    </row>
    <row r="54" spans="1:13" ht="14.4" x14ac:dyDescent="0.5">
      <c r="A54" s="74" t="s">
        <v>295</v>
      </c>
      <c r="B54" s="18" t="s">
        <v>296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206</v>
      </c>
      <c r="J54" s="19">
        <v>0.2</v>
      </c>
      <c r="K54" s="19">
        <v>0.53</v>
      </c>
      <c r="L54" s="19">
        <v>0.3</v>
      </c>
      <c r="M54" s="20">
        <v>0.62</v>
      </c>
    </row>
    <row r="55" spans="1:13" ht="14.4" hidden="1" x14ac:dyDescent="0.5">
      <c r="A55" s="75" t="s">
        <v>297</v>
      </c>
      <c r="B55" s="18" t="s">
        <v>298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278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ht="14.4" x14ac:dyDescent="0.5">
      <c r="A56" s="76" t="s">
        <v>299</v>
      </c>
      <c r="B56" s="18" t="s">
        <v>300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301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ht="14.4" x14ac:dyDescent="0.5">
      <c r="A57" s="77" t="s">
        <v>302</v>
      </c>
      <c r="B57" s="18" t="s">
        <v>303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304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t="14.4" hidden="1" x14ac:dyDescent="0.5">
      <c r="A58" s="78" t="s">
        <v>305</v>
      </c>
      <c r="B58" s="18" t="s">
        <v>306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307</v>
      </c>
      <c r="J58" s="19">
        <v>1</v>
      </c>
      <c r="K58" s="19">
        <v>0.88</v>
      </c>
      <c r="L58" s="19">
        <v>0.23</v>
      </c>
      <c r="M58" s="20">
        <v>1</v>
      </c>
    </row>
    <row r="59" spans="1:13" ht="14.4" x14ac:dyDescent="0.5">
      <c r="A59" s="79" t="s">
        <v>308</v>
      </c>
      <c r="B59" s="18" t="s">
        <v>309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226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ht="14.4" x14ac:dyDescent="0.5">
      <c r="A60" s="80" t="s">
        <v>310</v>
      </c>
      <c r="B60" s="18" t="s">
        <v>311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284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t="14.4" hidden="1" x14ac:dyDescent="0.5">
      <c r="A61" s="81" t="s">
        <v>312</v>
      </c>
      <c r="B61" s="18" t="s">
        <v>313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314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t="14.4" hidden="1" x14ac:dyDescent="0.5">
      <c r="A62" s="82" t="s">
        <v>315</v>
      </c>
      <c r="B62" s="18" t="s">
        <v>316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317</v>
      </c>
      <c r="J62" s="19">
        <v>1</v>
      </c>
      <c r="K62" s="19">
        <v>0.5</v>
      </c>
      <c r="L62" s="19">
        <v>1</v>
      </c>
      <c r="M62" s="20">
        <v>1</v>
      </c>
    </row>
    <row r="63" spans="1:13" ht="14.4" hidden="1" x14ac:dyDescent="0.5">
      <c r="A63" s="83" t="s">
        <v>318</v>
      </c>
      <c r="B63" s="18" t="s">
        <v>319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320</v>
      </c>
      <c r="J63" s="19">
        <v>0.99</v>
      </c>
      <c r="K63" s="19">
        <v>0.68</v>
      </c>
      <c r="L63" s="19">
        <v>0.63</v>
      </c>
      <c r="M63" s="20">
        <v>1</v>
      </c>
    </row>
    <row r="64" spans="1:13" ht="14.4" x14ac:dyDescent="0.5">
      <c r="A64" s="84" t="s">
        <v>321</v>
      </c>
      <c r="B64" s="18" t="s">
        <v>322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323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t="14.4" hidden="1" x14ac:dyDescent="0.5">
      <c r="A65" s="85" t="s">
        <v>324</v>
      </c>
      <c r="B65" s="18" t="s">
        <v>325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326</v>
      </c>
      <c r="J65" s="19">
        <v>0</v>
      </c>
      <c r="K65" s="19">
        <v>0</v>
      </c>
      <c r="L65" s="19">
        <v>0</v>
      </c>
      <c r="M65" s="20">
        <v>0</v>
      </c>
    </row>
    <row r="66" spans="1:13" ht="14.4" hidden="1" x14ac:dyDescent="0.5">
      <c r="A66" s="86" t="s">
        <v>327</v>
      </c>
      <c r="B66" s="18" t="s">
        <v>328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329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ht="14.4" x14ac:dyDescent="0.5">
      <c r="A67" s="87" t="s">
        <v>330</v>
      </c>
      <c r="B67" s="18" t="s">
        <v>331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332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ht="14.4" x14ac:dyDescent="0.5">
      <c r="A68" s="88" t="s">
        <v>333</v>
      </c>
      <c r="B68" s="18" t="s">
        <v>334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256</v>
      </c>
      <c r="J68" s="19">
        <v>0.11</v>
      </c>
      <c r="K68" s="19">
        <v>0.21</v>
      </c>
      <c r="L68" s="19">
        <v>0.2</v>
      </c>
      <c r="M68" s="20">
        <v>0.23</v>
      </c>
    </row>
    <row r="69" spans="1:13" ht="14.4" x14ac:dyDescent="0.5">
      <c r="A69" s="89" t="s">
        <v>335</v>
      </c>
      <c r="B69" s="18" t="s">
        <v>336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273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ht="14.4" x14ac:dyDescent="0.5">
      <c r="A70" s="90" t="s">
        <v>337</v>
      </c>
      <c r="B70" s="18" t="s">
        <v>338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339</v>
      </c>
      <c r="J70" s="19">
        <v>0.05</v>
      </c>
      <c r="K70" s="19">
        <v>0.22</v>
      </c>
      <c r="L70" s="19">
        <v>0.1</v>
      </c>
      <c r="M70" s="20">
        <v>0.24</v>
      </c>
    </row>
    <row r="71" spans="1:13" ht="14.4" x14ac:dyDescent="0.5">
      <c r="A71" s="91" t="s">
        <v>340</v>
      </c>
      <c r="B71" s="18" t="s">
        <v>341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342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t="14.4" hidden="1" x14ac:dyDescent="0.5">
      <c r="A72" s="92" t="s">
        <v>343</v>
      </c>
      <c r="B72" s="18" t="s">
        <v>344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345</v>
      </c>
      <c r="J72" s="19">
        <v>1</v>
      </c>
      <c r="K72" s="19">
        <v>0.9</v>
      </c>
      <c r="L72" s="19">
        <v>0.2</v>
      </c>
      <c r="M72" s="20">
        <v>1</v>
      </c>
    </row>
    <row r="73" spans="1:13" ht="14.4" x14ac:dyDescent="0.5">
      <c r="A73" s="93" t="s">
        <v>346</v>
      </c>
      <c r="B73" s="18" t="s">
        <v>347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348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t="14.4" hidden="1" x14ac:dyDescent="0.5">
      <c r="A74" s="94" t="s">
        <v>349</v>
      </c>
      <c r="B74" s="18" t="s">
        <v>350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265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t="14.4" hidden="1" x14ac:dyDescent="0.5">
      <c r="A75" s="95" t="s">
        <v>351</v>
      </c>
      <c r="B75" s="18" t="s">
        <v>352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353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t="14.4" hidden="1" x14ac:dyDescent="0.5">
      <c r="A76" s="96" t="s">
        <v>354</v>
      </c>
      <c r="B76" s="18" t="s">
        <v>355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165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t="14.4" hidden="1" x14ac:dyDescent="0.5">
      <c r="A77" s="97" t="s">
        <v>356</v>
      </c>
      <c r="B77" s="18" t="s">
        <v>357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256</v>
      </c>
      <c r="J77" s="19">
        <v>1</v>
      </c>
      <c r="K77" s="19">
        <v>0.2</v>
      </c>
      <c r="L77" s="19">
        <v>1</v>
      </c>
      <c r="M77" s="20">
        <v>0.4</v>
      </c>
    </row>
    <row r="78" spans="1:13" ht="14.4" hidden="1" x14ac:dyDescent="0.5">
      <c r="A78" s="98" t="s">
        <v>140</v>
      </c>
      <c r="B78" s="18" t="s">
        <v>358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359</v>
      </c>
      <c r="J78" s="19">
        <v>1</v>
      </c>
      <c r="K78" s="19">
        <v>0.5</v>
      </c>
      <c r="L78" s="19">
        <v>1</v>
      </c>
      <c r="M78" s="20">
        <v>1</v>
      </c>
    </row>
    <row r="79" spans="1:13" ht="14.4" hidden="1" x14ac:dyDescent="0.5">
      <c r="A79" s="99" t="s">
        <v>360</v>
      </c>
      <c r="B79" s="18" t="s">
        <v>361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147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t="14.4" hidden="1" x14ac:dyDescent="0.5">
      <c r="A80" s="100" t="s">
        <v>362</v>
      </c>
      <c r="B80" s="18" t="s">
        <v>363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364</v>
      </c>
      <c r="J80" s="19">
        <v>1</v>
      </c>
      <c r="K80" s="19">
        <v>0.34</v>
      </c>
      <c r="L80" s="19">
        <v>1</v>
      </c>
      <c r="M80" s="20">
        <v>0.69</v>
      </c>
    </row>
    <row r="81" spans="1:13" ht="14.4" hidden="1" x14ac:dyDescent="0.5">
      <c r="A81" s="101" t="s">
        <v>365</v>
      </c>
      <c r="B81" s="18" t="s">
        <v>366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367</v>
      </c>
      <c r="J81" s="19">
        <v>1</v>
      </c>
      <c r="K81" s="19">
        <v>0.37</v>
      </c>
      <c r="L81" s="19">
        <v>1</v>
      </c>
      <c r="M81" s="20">
        <v>0.74</v>
      </c>
    </row>
    <row r="82" spans="1:13" ht="14.4" hidden="1" x14ac:dyDescent="0.5">
      <c r="A82" s="102" t="s">
        <v>368</v>
      </c>
      <c r="B82" s="18" t="s">
        <v>369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370</v>
      </c>
      <c r="J82" s="19">
        <v>1</v>
      </c>
      <c r="K82" s="19">
        <v>0.33</v>
      </c>
      <c r="L82" s="19">
        <v>1</v>
      </c>
      <c r="M82" s="20">
        <v>0.66</v>
      </c>
    </row>
    <row r="83" spans="1:13" ht="14.4" x14ac:dyDescent="0.5">
      <c r="A83" s="103" t="s">
        <v>371</v>
      </c>
      <c r="B83" s="18" t="s">
        <v>372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359</v>
      </c>
      <c r="J83" s="19">
        <v>0.5</v>
      </c>
      <c r="K83" s="19">
        <v>0.4</v>
      </c>
      <c r="L83" s="19">
        <v>0.67</v>
      </c>
      <c r="M83" s="20">
        <v>0.6</v>
      </c>
    </row>
    <row r="84" spans="1:13" ht="14.4" hidden="1" x14ac:dyDescent="0.5">
      <c r="A84" s="104" t="s">
        <v>373</v>
      </c>
      <c r="B84" s="18" t="s">
        <v>374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375</v>
      </c>
      <c r="J84" s="19">
        <v>0.99</v>
      </c>
      <c r="K84" s="19">
        <v>0.5</v>
      </c>
      <c r="L84" s="19">
        <v>0.99</v>
      </c>
      <c r="M84" s="20">
        <v>1</v>
      </c>
    </row>
    <row r="85" spans="1:13" ht="14.4" hidden="1" x14ac:dyDescent="0.5">
      <c r="A85" s="105" t="s">
        <v>376</v>
      </c>
      <c r="B85" s="18" t="s">
        <v>377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359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t="14.4" hidden="1" x14ac:dyDescent="0.5">
      <c r="A86" s="106" t="s">
        <v>378</v>
      </c>
      <c r="B86" s="18" t="s">
        <v>379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265</v>
      </c>
      <c r="J86" s="19">
        <v>0.5</v>
      </c>
      <c r="K86" s="19">
        <v>0.6</v>
      </c>
      <c r="L86" s="19">
        <v>0.5</v>
      </c>
      <c r="M86" s="20">
        <v>0.8</v>
      </c>
    </row>
    <row r="87" spans="1:13" ht="14.4" x14ac:dyDescent="0.5">
      <c r="A87" s="107" t="s">
        <v>380</v>
      </c>
      <c r="B87" s="18" t="s">
        <v>381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382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t="14.4" hidden="1" x14ac:dyDescent="0.5">
      <c r="A88" s="108" t="s">
        <v>383</v>
      </c>
      <c r="B88" s="18" t="s">
        <v>384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385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t="14.4" hidden="1" x14ac:dyDescent="0.5">
      <c r="A89" s="109" t="s">
        <v>386</v>
      </c>
      <c r="B89" s="18" t="s">
        <v>387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153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ht="14.4" x14ac:dyDescent="0.5">
      <c r="A90" s="110" t="s">
        <v>388</v>
      </c>
      <c r="B90" s="18" t="s">
        <v>389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367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t="14.4" hidden="1" x14ac:dyDescent="0.5">
      <c r="A91" s="111" t="s">
        <v>390</v>
      </c>
      <c r="B91" s="18" t="s">
        <v>391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392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ht="14.4" x14ac:dyDescent="0.5">
      <c r="A92" s="112" t="s">
        <v>393</v>
      </c>
      <c r="B92" s="18" t="s">
        <v>394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395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ht="14.4" x14ac:dyDescent="0.5">
      <c r="A93" s="113" t="s">
        <v>396</v>
      </c>
      <c r="B93" s="18" t="s">
        <v>397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200</v>
      </c>
      <c r="J93" s="19">
        <v>0.66</v>
      </c>
      <c r="K93" s="19">
        <v>0.3</v>
      </c>
      <c r="L93" s="19">
        <v>0.46</v>
      </c>
      <c r="M93" s="20">
        <v>0.74</v>
      </c>
    </row>
    <row r="94" spans="1:13" ht="14.4" x14ac:dyDescent="0.5">
      <c r="A94" s="114" t="s">
        <v>398</v>
      </c>
      <c r="B94" s="18" t="s">
        <v>399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147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t="14.4" hidden="1" x14ac:dyDescent="0.5">
      <c r="A95" s="115" t="s">
        <v>400</v>
      </c>
      <c r="B95" s="18" t="s">
        <v>401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375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t="14.4" hidden="1" x14ac:dyDescent="0.5">
      <c r="A96" s="116" t="s">
        <v>402</v>
      </c>
      <c r="B96" s="18" t="s">
        <v>403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186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ht="14.4" x14ac:dyDescent="0.5">
      <c r="A97" s="117" t="s">
        <v>404</v>
      </c>
      <c r="B97" s="18" t="s">
        <v>405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406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t="14.4" hidden="1" x14ac:dyDescent="0.5">
      <c r="A98" s="118" t="s">
        <v>407</v>
      </c>
      <c r="B98" s="18" t="s">
        <v>408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409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t="14.4" hidden="1" x14ac:dyDescent="0.5">
      <c r="A99" s="119" t="s">
        <v>410</v>
      </c>
      <c r="B99" s="18" t="s">
        <v>411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412</v>
      </c>
      <c r="J99" s="19">
        <v>1</v>
      </c>
      <c r="K99" s="19">
        <v>0.21</v>
      </c>
      <c r="L99" s="19">
        <v>1</v>
      </c>
      <c r="M99" s="20">
        <v>0.42</v>
      </c>
    </row>
    <row r="100" spans="1:13" ht="14.4" x14ac:dyDescent="0.5">
      <c r="A100" s="120" t="s">
        <v>413</v>
      </c>
      <c r="B100" s="18" t="s">
        <v>414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415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t="14.4" hidden="1" x14ac:dyDescent="0.5">
      <c r="A101" s="121" t="s">
        <v>416</v>
      </c>
      <c r="B101" s="18" t="s">
        <v>417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418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t="14.4" hidden="1" x14ac:dyDescent="0.5">
      <c r="A102" s="122" t="s">
        <v>419</v>
      </c>
      <c r="B102" s="18" t="s">
        <v>420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421</v>
      </c>
      <c r="J102" s="19">
        <v>1</v>
      </c>
      <c r="K102" s="19">
        <v>0.5</v>
      </c>
      <c r="L102" s="19">
        <v>1</v>
      </c>
      <c r="M102" s="20">
        <v>1</v>
      </c>
    </row>
    <row r="103" spans="1:13" ht="14.4" hidden="1" x14ac:dyDescent="0.5">
      <c r="A103" s="123" t="s">
        <v>422</v>
      </c>
      <c r="B103" s="18" t="s">
        <v>423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424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t="14.4" hidden="1" x14ac:dyDescent="0.5">
      <c r="A104" s="124" t="s">
        <v>425</v>
      </c>
      <c r="B104" s="18" t="s">
        <v>426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427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t="14.4" hidden="1" x14ac:dyDescent="0.5">
      <c r="A105" s="125" t="s">
        <v>428</v>
      </c>
      <c r="B105" s="18" t="s">
        <v>429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265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t="14.4" hidden="1" x14ac:dyDescent="0.5">
      <c r="A106" s="126" t="s">
        <v>430</v>
      </c>
      <c r="B106" s="18" t="s">
        <v>431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432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t="14.4" hidden="1" x14ac:dyDescent="0.5">
      <c r="A107" s="127" t="s">
        <v>433</v>
      </c>
      <c r="B107" s="18" t="s">
        <v>434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435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t="14.4" hidden="1" x14ac:dyDescent="0.5">
      <c r="A108" s="128" t="s">
        <v>436</v>
      </c>
      <c r="B108" s="18" t="s">
        <v>437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177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t="14.4" hidden="1" x14ac:dyDescent="0.5">
      <c r="A109" s="129" t="s">
        <v>438</v>
      </c>
      <c r="B109" s="18" t="s">
        <v>439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440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t="14.4" hidden="1" x14ac:dyDescent="0.5">
      <c r="A110" s="130" t="s">
        <v>441</v>
      </c>
      <c r="B110" s="18" t="s">
        <v>442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174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t="14.4" hidden="1" x14ac:dyDescent="0.5">
      <c r="A111" s="131" t="s">
        <v>443</v>
      </c>
      <c r="B111" s="18" t="s">
        <v>444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445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ht="14.4" x14ac:dyDescent="0.5">
      <c r="A112" s="132" t="s">
        <v>446</v>
      </c>
      <c r="B112" s="18" t="s">
        <v>447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253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ht="14.4" x14ac:dyDescent="0.5">
      <c r="A113" s="133" t="s">
        <v>448</v>
      </c>
      <c r="B113" s="18" t="s">
        <v>449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450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ht="14.4" x14ac:dyDescent="0.5">
      <c r="A114" s="134" t="s">
        <v>451</v>
      </c>
      <c r="B114" s="18" t="s">
        <v>452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453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t="14.4" hidden="1" x14ac:dyDescent="0.5">
      <c r="A115" s="135" t="s">
        <v>454</v>
      </c>
      <c r="B115" s="18" t="s">
        <v>455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307</v>
      </c>
      <c r="J115" s="19">
        <v>1</v>
      </c>
      <c r="K115" s="19">
        <v>0.75</v>
      </c>
      <c r="L115" s="19">
        <v>0.5</v>
      </c>
      <c r="M115" s="20">
        <v>1</v>
      </c>
    </row>
    <row r="116" spans="1:13" ht="14.4" hidden="1" x14ac:dyDescent="0.5">
      <c r="A116" s="136" t="s">
        <v>456</v>
      </c>
      <c r="B116" s="18" t="s">
        <v>457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304</v>
      </c>
      <c r="J116" s="19">
        <v>1</v>
      </c>
      <c r="K116" s="19">
        <v>0.25</v>
      </c>
      <c r="L116" s="19">
        <v>1</v>
      </c>
      <c r="M116" s="20">
        <v>0.5</v>
      </c>
    </row>
    <row r="117" spans="1:13" ht="14.4" hidden="1" x14ac:dyDescent="0.5">
      <c r="A117" s="137" t="s">
        <v>458</v>
      </c>
      <c r="B117" s="18" t="s">
        <v>459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218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ht="14.4" x14ac:dyDescent="0.5">
      <c r="A118" s="138" t="s">
        <v>460</v>
      </c>
      <c r="B118" s="18" t="s">
        <v>461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462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t="14.4" hidden="1" x14ac:dyDescent="0.5">
      <c r="A119" s="139" t="s">
        <v>463</v>
      </c>
      <c r="B119" s="18" t="s">
        <v>464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465</v>
      </c>
      <c r="J119" s="19">
        <v>1</v>
      </c>
      <c r="K119" s="19">
        <v>0.4</v>
      </c>
      <c r="L119" s="19">
        <v>1</v>
      </c>
      <c r="M119" s="20">
        <v>0.8</v>
      </c>
    </row>
    <row r="120" spans="1:13" ht="14.4" hidden="1" x14ac:dyDescent="0.5">
      <c r="A120" s="140" t="s">
        <v>466</v>
      </c>
      <c r="B120" s="18" t="s">
        <v>467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468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ht="14.4" x14ac:dyDescent="0.5">
      <c r="A121" s="141" t="s">
        <v>469</v>
      </c>
      <c r="B121" s="18" t="s">
        <v>470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406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ht="14.4" x14ac:dyDescent="0.5">
      <c r="A122" s="142" t="s">
        <v>471</v>
      </c>
      <c r="B122" s="18" t="s">
        <v>472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473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ht="14.4" x14ac:dyDescent="0.5">
      <c r="A123" s="143" t="s">
        <v>474</v>
      </c>
      <c r="B123" s="18" t="s">
        <v>475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473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ht="14.4" x14ac:dyDescent="0.5">
      <c r="A124" s="144" t="s">
        <v>476</v>
      </c>
      <c r="B124" s="18" t="s">
        <v>477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270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ht="14.4" x14ac:dyDescent="0.5">
      <c r="A125" s="145" t="s">
        <v>478</v>
      </c>
      <c r="B125" s="18" t="s">
        <v>479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480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t="14.4" hidden="1" x14ac:dyDescent="0.5">
      <c r="A126" s="146" t="s">
        <v>481</v>
      </c>
      <c r="B126" s="18" t="s">
        <v>482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483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ht="14.4" x14ac:dyDescent="0.5">
      <c r="A127" s="147" t="s">
        <v>484</v>
      </c>
      <c r="B127" s="18" t="s">
        <v>485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162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t="14.4" hidden="1" x14ac:dyDescent="0.5">
      <c r="A128" s="148" t="s">
        <v>486</v>
      </c>
      <c r="B128" s="18" t="s">
        <v>487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440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t="14.4" hidden="1" x14ac:dyDescent="0.5">
      <c r="A129" s="149" t="s">
        <v>488</v>
      </c>
      <c r="B129" s="18" t="s">
        <v>489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490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t="14.4" hidden="1" x14ac:dyDescent="0.5">
      <c r="A130" s="150" t="s">
        <v>491</v>
      </c>
      <c r="B130" s="18" t="s">
        <v>492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493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t="14.4" hidden="1" x14ac:dyDescent="0.5">
      <c r="A131" s="151" t="s">
        <v>494</v>
      </c>
      <c r="B131" s="18" t="s">
        <v>495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496</v>
      </c>
      <c r="J131" s="19">
        <v>1</v>
      </c>
      <c r="K131" s="19">
        <v>0.5</v>
      </c>
      <c r="L131" s="19">
        <v>1</v>
      </c>
      <c r="M131" s="20">
        <v>1</v>
      </c>
    </row>
    <row r="132" spans="1:13" ht="14.4" x14ac:dyDescent="0.5">
      <c r="A132" s="152" t="s">
        <v>497</v>
      </c>
      <c r="B132" s="18" t="s">
        <v>498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499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ht="14.4" x14ac:dyDescent="0.5">
      <c r="A133" s="153" t="s">
        <v>500</v>
      </c>
      <c r="B133" s="18" t="s">
        <v>501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174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t="14.4" hidden="1" x14ac:dyDescent="0.5">
      <c r="A134" s="154" t="s">
        <v>502</v>
      </c>
      <c r="B134" s="18" t="s">
        <v>503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504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t="14.4" hidden="1" x14ac:dyDescent="0.5">
      <c r="A135" s="155" t="s">
        <v>505</v>
      </c>
      <c r="B135" s="18" t="s">
        <v>506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307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t="14.4" hidden="1" x14ac:dyDescent="0.5">
      <c r="A136" s="156" t="s">
        <v>507</v>
      </c>
      <c r="B136" s="18" t="s">
        <v>508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509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t="14.4" hidden="1" x14ac:dyDescent="0.5">
      <c r="A137" s="157" t="s">
        <v>510</v>
      </c>
      <c r="B137" s="18" t="s">
        <v>511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278</v>
      </c>
      <c r="J137" s="19">
        <v>1</v>
      </c>
      <c r="K137" s="19">
        <v>0.8</v>
      </c>
      <c r="L137" s="19">
        <v>0.4</v>
      </c>
      <c r="M137" s="20">
        <v>1</v>
      </c>
    </row>
    <row r="138" spans="1:13" ht="14.4" hidden="1" x14ac:dyDescent="0.5">
      <c r="A138" s="158" t="s">
        <v>512</v>
      </c>
      <c r="B138" s="18" t="s">
        <v>513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259</v>
      </c>
      <c r="J138" s="19">
        <v>1</v>
      </c>
      <c r="K138" s="19">
        <v>0.5</v>
      </c>
      <c r="L138" s="19">
        <v>1</v>
      </c>
      <c r="M138" s="20">
        <v>1</v>
      </c>
    </row>
    <row r="139" spans="1:13" ht="14.4" hidden="1" x14ac:dyDescent="0.5">
      <c r="A139" s="159" t="s">
        <v>514</v>
      </c>
      <c r="B139" s="18" t="s">
        <v>515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415</v>
      </c>
      <c r="J139" s="19">
        <v>1</v>
      </c>
      <c r="K139" s="19">
        <v>0.5</v>
      </c>
      <c r="L139" s="19">
        <v>1</v>
      </c>
      <c r="M139" s="20">
        <v>1</v>
      </c>
    </row>
    <row r="140" spans="1:13" ht="14.4" hidden="1" x14ac:dyDescent="0.5">
      <c r="A140" s="160" t="s">
        <v>516</v>
      </c>
      <c r="B140" s="18" t="s">
        <v>517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518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t="14.4" hidden="1" x14ac:dyDescent="0.5">
      <c r="A141" s="161" t="s">
        <v>519</v>
      </c>
      <c r="B141" s="18" t="s">
        <v>520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521</v>
      </c>
      <c r="J141" s="19">
        <v>1</v>
      </c>
      <c r="K141" s="19">
        <v>0.5</v>
      </c>
      <c r="L141" s="19">
        <v>1</v>
      </c>
      <c r="M141" s="20">
        <v>1</v>
      </c>
    </row>
    <row r="142" spans="1:13" ht="14.4" x14ac:dyDescent="0.5">
      <c r="A142" s="162" t="s">
        <v>522</v>
      </c>
      <c r="B142" s="18" t="s">
        <v>523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524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t="14.4" hidden="1" x14ac:dyDescent="0.5">
      <c r="A143" s="163" t="s">
        <v>525</v>
      </c>
      <c r="B143" s="18" t="s">
        <v>526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215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t="14.4" hidden="1" x14ac:dyDescent="0.5">
      <c r="A144" s="164" t="s">
        <v>527</v>
      </c>
      <c r="B144" s="18" t="s">
        <v>528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529</v>
      </c>
      <c r="J144" s="19">
        <v>1</v>
      </c>
      <c r="K144" s="19">
        <v>0.4</v>
      </c>
      <c r="L144" s="19">
        <v>1</v>
      </c>
      <c r="M144" s="20">
        <v>0.8</v>
      </c>
    </row>
    <row r="145" spans="1:13" ht="14.4" hidden="1" x14ac:dyDescent="0.5">
      <c r="A145" s="165" t="s">
        <v>530</v>
      </c>
      <c r="B145" s="18" t="s">
        <v>531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215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t="14.4" hidden="1" x14ac:dyDescent="0.5">
      <c r="A146" s="166" t="s">
        <v>532</v>
      </c>
      <c r="B146" s="18" t="s">
        <v>533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186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t="14.4" hidden="1" x14ac:dyDescent="0.5">
      <c r="A147" s="167" t="s">
        <v>534</v>
      </c>
      <c r="B147" s="18" t="s">
        <v>535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536</v>
      </c>
      <c r="J147" s="19">
        <v>1</v>
      </c>
      <c r="K147" s="19">
        <v>0.83</v>
      </c>
      <c r="L147" s="19">
        <v>0.35</v>
      </c>
      <c r="M147" s="20">
        <v>1</v>
      </c>
    </row>
    <row r="148" spans="1:13" ht="14.4" x14ac:dyDescent="0.5">
      <c r="A148" s="168" t="s">
        <v>537</v>
      </c>
      <c r="B148" s="18" t="s">
        <v>538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256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t="14.4" hidden="1" x14ac:dyDescent="0.5">
      <c r="A149" s="169" t="s">
        <v>539</v>
      </c>
      <c r="B149" s="18" t="s">
        <v>540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541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t="14.4" hidden="1" x14ac:dyDescent="0.5">
      <c r="A150" s="170" t="s">
        <v>542</v>
      </c>
      <c r="B150" s="18" t="s">
        <v>543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307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t="14.4" hidden="1" x14ac:dyDescent="0.5">
      <c r="A151" s="171" t="s">
        <v>544</v>
      </c>
      <c r="B151" s="18" t="s">
        <v>545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412</v>
      </c>
      <c r="J151" s="19">
        <v>1</v>
      </c>
      <c r="K151" s="19">
        <v>0.17</v>
      </c>
      <c r="L151" s="19">
        <v>1</v>
      </c>
      <c r="M151" s="20">
        <v>0.34</v>
      </c>
    </row>
    <row r="152" spans="1:13" ht="14.4" x14ac:dyDescent="0.5">
      <c r="A152" s="172" t="s">
        <v>546</v>
      </c>
      <c r="B152" s="18" t="s">
        <v>547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177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t="14.4" hidden="1" x14ac:dyDescent="0.5">
      <c r="A153" s="173" t="s">
        <v>548</v>
      </c>
      <c r="B153" s="18" t="s">
        <v>549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462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t="14.4" hidden="1" x14ac:dyDescent="0.5">
      <c r="A154" s="174" t="s">
        <v>550</v>
      </c>
      <c r="B154" s="18" t="s">
        <v>551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552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t="14.4" hidden="1" x14ac:dyDescent="0.5">
      <c r="A155" s="175" t="s">
        <v>553</v>
      </c>
      <c r="B155" s="18" t="s">
        <v>554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555</v>
      </c>
      <c r="J155" s="19">
        <v>1</v>
      </c>
      <c r="K155" s="19">
        <v>0.33</v>
      </c>
      <c r="L155" s="19">
        <v>1</v>
      </c>
      <c r="M155" s="20">
        <v>0.65</v>
      </c>
    </row>
    <row r="156" spans="1:13" ht="14.4" x14ac:dyDescent="0.5">
      <c r="A156" s="176" t="s">
        <v>556</v>
      </c>
      <c r="B156" s="18" t="s">
        <v>557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558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t="14.4" hidden="1" x14ac:dyDescent="0.5">
      <c r="A157" s="177" t="s">
        <v>559</v>
      </c>
      <c r="B157" s="18" t="s">
        <v>560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229</v>
      </c>
      <c r="J157" s="19">
        <v>1</v>
      </c>
      <c r="K157" s="19">
        <v>0.85</v>
      </c>
      <c r="L157" s="19">
        <v>0.3</v>
      </c>
      <c r="M157" s="20">
        <v>1</v>
      </c>
    </row>
    <row r="158" spans="1:13" ht="14.4" hidden="1" x14ac:dyDescent="0.5">
      <c r="A158" s="178" t="s">
        <v>561</v>
      </c>
      <c r="B158" s="18" t="s">
        <v>562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301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t="14.4" hidden="1" x14ac:dyDescent="0.5">
      <c r="A159" s="179" t="s">
        <v>563</v>
      </c>
      <c r="B159" s="18" t="s">
        <v>564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565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t="14.4" hidden="1" x14ac:dyDescent="0.5">
      <c r="A160" s="175" t="s">
        <v>566</v>
      </c>
      <c r="B160" s="18" t="s">
        <v>554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555</v>
      </c>
      <c r="J160" s="19">
        <v>1</v>
      </c>
      <c r="K160" s="19">
        <v>0.33</v>
      </c>
      <c r="L160" s="19">
        <v>1</v>
      </c>
      <c r="M160" s="20">
        <v>0.65</v>
      </c>
    </row>
    <row r="161" spans="1:13" ht="14.4" x14ac:dyDescent="0.5">
      <c r="A161" s="180" t="s">
        <v>567</v>
      </c>
      <c r="B161" s="18" t="s">
        <v>568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375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t="14.4" hidden="1" x14ac:dyDescent="0.5">
      <c r="A162" s="181" t="s">
        <v>569</v>
      </c>
      <c r="B162" s="18" t="s">
        <v>570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168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t="14.4" hidden="1" x14ac:dyDescent="0.5">
      <c r="A163" s="182" t="s">
        <v>571</v>
      </c>
      <c r="B163" s="18" t="s">
        <v>572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573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t="14.4" hidden="1" x14ac:dyDescent="0.5">
      <c r="A164" s="183" t="s">
        <v>574</v>
      </c>
      <c r="B164" s="18" t="s">
        <v>575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555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t="14.4" hidden="1" x14ac:dyDescent="0.5">
      <c r="A165" s="184" t="s">
        <v>576</v>
      </c>
      <c r="B165" s="18" t="s">
        <v>577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290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t="14.4" hidden="1" x14ac:dyDescent="0.5">
      <c r="A166" s="185" t="s">
        <v>578</v>
      </c>
      <c r="B166" s="18" t="s">
        <v>579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432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t="14.4" hidden="1" x14ac:dyDescent="0.5">
      <c r="A167" s="186" t="s">
        <v>580</v>
      </c>
      <c r="B167" s="18" t="s">
        <v>581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465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ht="14.4" x14ac:dyDescent="0.5">
      <c r="A168" s="187" t="s">
        <v>582</v>
      </c>
      <c r="B168" s="18" t="s">
        <v>583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541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ht="14.4" x14ac:dyDescent="0.5">
      <c r="A169" s="188" t="s">
        <v>584</v>
      </c>
      <c r="B169" s="18" t="s">
        <v>585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229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t="14.4" hidden="1" x14ac:dyDescent="0.5">
      <c r="A170" s="189" t="s">
        <v>586</v>
      </c>
      <c r="B170" s="18" t="s">
        <v>587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509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t="14.4" hidden="1" x14ac:dyDescent="0.5">
      <c r="A171" s="190" t="s">
        <v>588</v>
      </c>
      <c r="B171" s="18" t="s">
        <v>589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590</v>
      </c>
      <c r="J171" s="19">
        <v>1</v>
      </c>
      <c r="K171" s="19">
        <v>0.5</v>
      </c>
      <c r="L171" s="19">
        <v>1</v>
      </c>
      <c r="M171" s="20">
        <v>1</v>
      </c>
    </row>
    <row r="172" spans="1:13" ht="14.4" hidden="1" x14ac:dyDescent="0.5">
      <c r="A172" s="191" t="s">
        <v>591</v>
      </c>
      <c r="B172" s="18" t="s">
        <v>592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593</v>
      </c>
      <c r="J172" s="19">
        <v>1</v>
      </c>
      <c r="K172" s="19">
        <v>0.5</v>
      </c>
      <c r="L172" s="19">
        <v>1</v>
      </c>
      <c r="M172" s="20">
        <v>1</v>
      </c>
    </row>
    <row r="173" spans="1:13" ht="14.4" hidden="1" x14ac:dyDescent="0.5">
      <c r="A173" s="192" t="s">
        <v>594</v>
      </c>
      <c r="B173" s="18" t="s">
        <v>595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177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ht="14.4" x14ac:dyDescent="0.5">
      <c r="A174" s="193" t="s">
        <v>596</v>
      </c>
      <c r="B174" s="18" t="s">
        <v>597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329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t="14.4" hidden="1" x14ac:dyDescent="0.5">
      <c r="A175" s="194" t="s">
        <v>598</v>
      </c>
      <c r="B175" s="18" t="s">
        <v>599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600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t="14.4" hidden="1" x14ac:dyDescent="0.5">
      <c r="A176" s="195" t="s">
        <v>601</v>
      </c>
      <c r="B176" s="18" t="s">
        <v>602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603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ht="14.4" x14ac:dyDescent="0.5">
      <c r="A177" s="196" t="s">
        <v>604</v>
      </c>
      <c r="B177" s="18" t="s">
        <v>605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509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ht="14.4" x14ac:dyDescent="0.5">
      <c r="A178" s="197" t="s">
        <v>606</v>
      </c>
      <c r="B178" s="18" t="s">
        <v>607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608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ht="14.4" x14ac:dyDescent="0.5">
      <c r="A179" s="198" t="s">
        <v>609</v>
      </c>
      <c r="B179" s="18" t="s">
        <v>610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611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t="14.4" hidden="1" x14ac:dyDescent="0.5">
      <c r="A180" s="199" t="s">
        <v>612</v>
      </c>
      <c r="B180" s="18" t="s">
        <v>613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332</v>
      </c>
      <c r="J180" s="19">
        <v>1</v>
      </c>
      <c r="K180" s="19">
        <v>0.5</v>
      </c>
      <c r="L180" s="19">
        <v>1</v>
      </c>
      <c r="M180" s="20">
        <v>1</v>
      </c>
    </row>
    <row r="181" spans="1:13" ht="14.4" hidden="1" x14ac:dyDescent="0.5">
      <c r="A181" s="200" t="s">
        <v>614</v>
      </c>
      <c r="B181" s="18" t="s">
        <v>615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616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t="14.4" hidden="1" x14ac:dyDescent="0.5">
      <c r="A182" s="201" t="s">
        <v>617</v>
      </c>
      <c r="B182" s="18" t="s">
        <v>618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465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ht="14.4" x14ac:dyDescent="0.5">
      <c r="A183" s="202" t="s">
        <v>619</v>
      </c>
      <c r="B183" s="18" t="s">
        <v>620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418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t="14.4" hidden="1" x14ac:dyDescent="0.5">
      <c r="A184" s="203" t="s">
        <v>621</v>
      </c>
      <c r="B184" s="18" t="s">
        <v>622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409</v>
      </c>
      <c r="J184" s="19">
        <v>1</v>
      </c>
      <c r="K184" s="19">
        <v>0.5</v>
      </c>
      <c r="L184" s="19">
        <v>1</v>
      </c>
      <c r="M184" s="20">
        <v>1</v>
      </c>
    </row>
    <row r="185" spans="1:13" ht="14.4" x14ac:dyDescent="0.5">
      <c r="A185" s="204" t="s">
        <v>623</v>
      </c>
      <c r="B185" s="18" t="s">
        <v>624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348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t="14.4" hidden="1" x14ac:dyDescent="0.5">
      <c r="A186" s="205" t="s">
        <v>625</v>
      </c>
      <c r="B186" s="18" t="s">
        <v>626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600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t="14.4" hidden="1" x14ac:dyDescent="0.5">
      <c r="A187" s="206" t="s">
        <v>627</v>
      </c>
      <c r="B187" s="18" t="s">
        <v>628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565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t="14.4" hidden="1" x14ac:dyDescent="0.5">
      <c r="A188" s="207" t="s">
        <v>629</v>
      </c>
      <c r="B188" s="18" t="s">
        <v>630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631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ht="14.4" x14ac:dyDescent="0.5">
      <c r="A189" s="208" t="s">
        <v>632</v>
      </c>
      <c r="B189" s="18" t="s">
        <v>633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634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ht="14.4" x14ac:dyDescent="0.5">
      <c r="A190" s="209" t="s">
        <v>635</v>
      </c>
      <c r="B190" s="18" t="s">
        <v>636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565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t="14.4" hidden="1" x14ac:dyDescent="0.5">
      <c r="A191" s="210" t="s">
        <v>637</v>
      </c>
      <c r="B191" s="18" t="s">
        <v>638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301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t="14.4" hidden="1" x14ac:dyDescent="0.5">
      <c r="A192" s="201" t="s">
        <v>639</v>
      </c>
      <c r="B192" s="18" t="s">
        <v>618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465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ht="14.4" x14ac:dyDescent="0.5">
      <c r="A193" s="211" t="s">
        <v>640</v>
      </c>
      <c r="B193" s="18" t="s">
        <v>641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465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t="14.4" hidden="1" x14ac:dyDescent="0.5">
      <c r="A194" s="212" t="s">
        <v>642</v>
      </c>
      <c r="B194" s="18" t="s">
        <v>643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644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t="14.4" hidden="1" x14ac:dyDescent="0.5">
      <c r="A195" s="213" t="s">
        <v>645</v>
      </c>
      <c r="B195" s="18" t="s">
        <v>646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600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ht="14.4" x14ac:dyDescent="0.5">
      <c r="A196" s="214" t="s">
        <v>647</v>
      </c>
      <c r="B196" s="18" t="s">
        <v>648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649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ht="14.4" x14ac:dyDescent="0.5">
      <c r="A197" s="215" t="s">
        <v>650</v>
      </c>
      <c r="B197" s="18" t="s">
        <v>651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652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t="14.4" hidden="1" x14ac:dyDescent="0.5">
      <c r="A198" s="216" t="s">
        <v>653</v>
      </c>
      <c r="B198" s="18" t="s">
        <v>654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655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ht="14.4" x14ac:dyDescent="0.5">
      <c r="A199" s="217" t="s">
        <v>656</v>
      </c>
      <c r="B199" s="18" t="s">
        <v>657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600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t="14.4" hidden="1" x14ac:dyDescent="0.5">
      <c r="A200" s="218" t="s">
        <v>658</v>
      </c>
      <c r="B200" s="18" t="s">
        <v>659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468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ht="14.4" x14ac:dyDescent="0.5">
      <c r="A201" s="219" t="s">
        <v>660</v>
      </c>
      <c r="B201" s="18" t="s">
        <v>661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256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t="14.4" hidden="1" x14ac:dyDescent="0.5">
      <c r="A202" s="220" t="s">
        <v>662</v>
      </c>
      <c r="B202" s="18" t="s">
        <v>663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664</v>
      </c>
      <c r="J202" s="19">
        <v>1</v>
      </c>
      <c r="K202" s="19">
        <v>0.5</v>
      </c>
      <c r="L202" s="19">
        <v>1</v>
      </c>
      <c r="M202" s="20">
        <v>1</v>
      </c>
    </row>
    <row r="203" spans="1:13" ht="14.4" hidden="1" x14ac:dyDescent="0.5">
      <c r="A203" s="221" t="s">
        <v>665</v>
      </c>
      <c r="B203" s="18" t="s">
        <v>666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667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t="14.4" hidden="1" x14ac:dyDescent="0.5">
      <c r="A204" s="213" t="s">
        <v>668</v>
      </c>
      <c r="B204" s="18" t="s">
        <v>646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600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ht="14.4" x14ac:dyDescent="0.5">
      <c r="A205" s="222" t="s">
        <v>669</v>
      </c>
      <c r="B205" s="18" t="s">
        <v>670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518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t="14.4" hidden="1" x14ac:dyDescent="0.5">
      <c r="A206" s="223" t="s">
        <v>671</v>
      </c>
      <c r="B206" s="18" t="s">
        <v>672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631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ht="14.4" x14ac:dyDescent="0.5">
      <c r="A207" s="168" t="s">
        <v>673</v>
      </c>
      <c r="B207" s="18" t="s">
        <v>538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256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t="14.4" hidden="1" x14ac:dyDescent="0.5">
      <c r="A208" s="224" t="s">
        <v>674</v>
      </c>
      <c r="B208" s="18" t="s">
        <v>675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483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t="14.4" hidden="1" x14ac:dyDescent="0.5">
      <c r="A209" s="225" t="s">
        <v>676</v>
      </c>
      <c r="B209" s="18" t="s">
        <v>677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678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ht="14.4" x14ac:dyDescent="0.5">
      <c r="A210" s="226" t="s">
        <v>679</v>
      </c>
      <c r="B210" s="18" t="s">
        <v>680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681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t="14.4" hidden="1" x14ac:dyDescent="0.5">
      <c r="A211" s="227" t="s">
        <v>682</v>
      </c>
      <c r="B211" s="18" t="s">
        <v>683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284</v>
      </c>
      <c r="J211" s="19">
        <v>1</v>
      </c>
      <c r="K211" s="19">
        <v>0.95</v>
      </c>
      <c r="L211" s="19">
        <v>0.09</v>
      </c>
      <c r="M211" s="20">
        <v>1</v>
      </c>
    </row>
    <row r="212" spans="1:13" ht="14.4" x14ac:dyDescent="0.5">
      <c r="A212" s="228" t="s">
        <v>684</v>
      </c>
      <c r="B212" s="18" t="s">
        <v>685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686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t="14.4" hidden="1" x14ac:dyDescent="0.5">
      <c r="A213" s="229" t="s">
        <v>687</v>
      </c>
      <c r="B213" s="18" t="s">
        <v>688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689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t="14.4" hidden="1" x14ac:dyDescent="0.5">
      <c r="A214" s="230" t="s">
        <v>690</v>
      </c>
      <c r="B214" s="18" t="s">
        <v>691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692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t="14.4" hidden="1" x14ac:dyDescent="0.5">
      <c r="A215" s="231" t="s">
        <v>693</v>
      </c>
      <c r="B215" s="18" t="s">
        <v>694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177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ht="14.4" x14ac:dyDescent="0.5">
      <c r="A216" s="232" t="s">
        <v>695</v>
      </c>
      <c r="B216" s="18" t="s">
        <v>696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342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t="14.4" hidden="1" x14ac:dyDescent="0.5">
      <c r="A217" s="233" t="s">
        <v>697</v>
      </c>
      <c r="B217" s="18" t="s">
        <v>698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699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t="14.4" hidden="1" x14ac:dyDescent="0.5">
      <c r="A218" s="234" t="s">
        <v>700</v>
      </c>
      <c r="B218" s="18" t="s">
        <v>701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326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t="14.4" hidden="1" x14ac:dyDescent="0.5">
      <c r="A219" s="50" t="s">
        <v>702</v>
      </c>
      <c r="B219" s="18" t="s">
        <v>228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229</v>
      </c>
      <c r="J219" s="19">
        <v>1</v>
      </c>
      <c r="K219" s="19">
        <v>0.5</v>
      </c>
      <c r="L219" s="19">
        <v>1</v>
      </c>
      <c r="M219" s="20">
        <v>1</v>
      </c>
    </row>
    <row r="220" spans="1:13" ht="14.4" hidden="1" x14ac:dyDescent="0.5">
      <c r="A220" s="235" t="s">
        <v>703</v>
      </c>
      <c r="B220" s="18" t="s">
        <v>704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705</v>
      </c>
      <c r="J220" s="19">
        <v>1</v>
      </c>
      <c r="K220" s="19">
        <v>0.46</v>
      </c>
      <c r="L220" s="19">
        <v>1</v>
      </c>
      <c r="M220" s="20">
        <v>0.92</v>
      </c>
    </row>
    <row r="221" spans="1:13" ht="14.4" x14ac:dyDescent="0.5">
      <c r="A221" s="236" t="s">
        <v>706</v>
      </c>
      <c r="B221" s="18" t="s">
        <v>707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708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t="14.4" hidden="1" x14ac:dyDescent="0.5">
      <c r="A222" s="237" t="s">
        <v>709</v>
      </c>
      <c r="B222" s="18" t="s">
        <v>710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165</v>
      </c>
      <c r="J222" s="19">
        <v>1</v>
      </c>
      <c r="K222" s="19">
        <v>0.5</v>
      </c>
      <c r="L222" s="19">
        <v>1</v>
      </c>
      <c r="M222" s="20">
        <v>1</v>
      </c>
    </row>
    <row r="223" spans="1:13" ht="14.4" hidden="1" x14ac:dyDescent="0.5">
      <c r="A223" s="238" t="s">
        <v>711</v>
      </c>
      <c r="B223" s="18" t="s">
        <v>712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183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ht="14.4" x14ac:dyDescent="0.5">
      <c r="A224" s="239" t="s">
        <v>713</v>
      </c>
      <c r="B224" s="18" t="s">
        <v>714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359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ht="14.4" x14ac:dyDescent="0.5">
      <c r="A225" s="240" t="s">
        <v>715</v>
      </c>
      <c r="B225" s="18" t="s">
        <v>716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174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ht="14.4" x14ac:dyDescent="0.5">
      <c r="A226" s="241" t="s">
        <v>717</v>
      </c>
      <c r="B226" s="18" t="s">
        <v>718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719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ht="14.4" x14ac:dyDescent="0.5">
      <c r="A227" s="242" t="s">
        <v>720</v>
      </c>
      <c r="B227" s="18" t="s">
        <v>721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722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t="14.4" hidden="1" x14ac:dyDescent="0.5">
      <c r="A228" s="243" t="s">
        <v>723</v>
      </c>
      <c r="B228" s="18" t="s">
        <v>724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229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ht="14.4" x14ac:dyDescent="0.5">
      <c r="A229" s="244" t="s">
        <v>725</v>
      </c>
      <c r="B229" s="18" t="s">
        <v>726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153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t="14.4" hidden="1" x14ac:dyDescent="0.5">
      <c r="A230" s="245" t="s">
        <v>727</v>
      </c>
      <c r="B230" s="18" t="s">
        <v>728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284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t="14.4" hidden="1" x14ac:dyDescent="0.5">
      <c r="A231" s="246" t="s">
        <v>729</v>
      </c>
      <c r="B231" s="18" t="s">
        <v>730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731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t="14.4" hidden="1" x14ac:dyDescent="0.5">
      <c r="A232" s="247" t="s">
        <v>732</v>
      </c>
      <c r="B232" s="18" t="s">
        <v>733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221</v>
      </c>
      <c r="J232" s="19">
        <v>1</v>
      </c>
      <c r="K232" s="19">
        <v>0.2</v>
      </c>
      <c r="L232" s="19">
        <v>1</v>
      </c>
      <c r="M232" s="20">
        <v>0.39</v>
      </c>
    </row>
    <row r="233" spans="1:13" ht="14.4" x14ac:dyDescent="0.5">
      <c r="A233" s="248" t="s">
        <v>734</v>
      </c>
      <c r="B233" s="18" t="s">
        <v>735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450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ht="14.4" x14ac:dyDescent="0.5">
      <c r="A234" s="249" t="s">
        <v>736</v>
      </c>
      <c r="B234" s="18" t="s">
        <v>737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259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ht="14.4" x14ac:dyDescent="0.5">
      <c r="A235" s="250" t="s">
        <v>738</v>
      </c>
      <c r="B235" s="18" t="s">
        <v>739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171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ht="14.4" x14ac:dyDescent="0.5">
      <c r="A236" s="251" t="s">
        <v>740</v>
      </c>
      <c r="B236" s="18" t="s">
        <v>741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742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ht="14.4" x14ac:dyDescent="0.5">
      <c r="A237" s="252" t="s">
        <v>743</v>
      </c>
      <c r="B237" s="18" t="s">
        <v>744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348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t="14.4" hidden="1" x14ac:dyDescent="0.5">
      <c r="A238" s="253" t="s">
        <v>745</v>
      </c>
      <c r="B238" s="18" t="s">
        <v>746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747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ht="14.4" x14ac:dyDescent="0.5">
      <c r="A239" s="254" t="s">
        <v>748</v>
      </c>
      <c r="B239" s="18" t="s">
        <v>749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750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ht="14.4" x14ac:dyDescent="0.5">
      <c r="A240" s="255" t="s">
        <v>751</v>
      </c>
      <c r="B240" s="18" t="s">
        <v>752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753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t="14.4" hidden="1" x14ac:dyDescent="0.5">
      <c r="A241" s="256" t="s">
        <v>754</v>
      </c>
      <c r="B241" s="18" t="s">
        <v>755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307</v>
      </c>
      <c r="J241" s="19">
        <v>1</v>
      </c>
      <c r="K241" s="19">
        <v>0.5</v>
      </c>
      <c r="L241" s="19">
        <v>1</v>
      </c>
      <c r="M241" s="20">
        <v>1</v>
      </c>
    </row>
    <row r="242" spans="1:13" ht="14.4" hidden="1" x14ac:dyDescent="0.5">
      <c r="A242" s="257" t="s">
        <v>756</v>
      </c>
      <c r="B242" s="18" t="s">
        <v>757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758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t="14.4" hidden="1" x14ac:dyDescent="0.5">
      <c r="A243" s="258" t="s">
        <v>759</v>
      </c>
      <c r="B243" s="18" t="s">
        <v>760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761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ht="14.4" x14ac:dyDescent="0.5">
      <c r="A244" s="259" t="s">
        <v>762</v>
      </c>
      <c r="B244" s="18" t="s">
        <v>763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764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t="14.4" hidden="1" x14ac:dyDescent="0.5">
      <c r="A245" s="260" t="s">
        <v>765</v>
      </c>
      <c r="B245" s="18" t="s">
        <v>766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256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t="14.4" hidden="1" x14ac:dyDescent="0.5">
      <c r="A246" s="261" t="s">
        <v>767</v>
      </c>
      <c r="B246" s="18" t="s">
        <v>768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769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ht="14.4" x14ac:dyDescent="0.5">
      <c r="A247" s="262" t="s">
        <v>770</v>
      </c>
      <c r="B247" s="18" t="s">
        <v>771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221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ht="14.4" x14ac:dyDescent="0.5">
      <c r="A248" s="263" t="s">
        <v>772</v>
      </c>
      <c r="B248" s="18" t="s">
        <v>773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256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t="14.4" hidden="1" x14ac:dyDescent="0.5">
      <c r="A249" s="264" t="s">
        <v>774</v>
      </c>
      <c r="B249" s="18" t="s">
        <v>775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270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ht="14.4" x14ac:dyDescent="0.5">
      <c r="A250" s="265" t="s">
        <v>776</v>
      </c>
      <c r="B250" s="18" t="s">
        <v>777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778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ht="14.4" x14ac:dyDescent="0.5">
      <c r="A251" s="266" t="s">
        <v>779</v>
      </c>
      <c r="B251" s="18" t="s">
        <v>780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229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ht="14.4" x14ac:dyDescent="0.5">
      <c r="A252" s="267" t="s">
        <v>781</v>
      </c>
      <c r="B252" s="18" t="s">
        <v>782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783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t="14.4" hidden="1" x14ac:dyDescent="0.5">
      <c r="A253" s="268" t="s">
        <v>784</v>
      </c>
      <c r="B253" s="18" t="s">
        <v>785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786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t="14.4" hidden="1" x14ac:dyDescent="0.5">
      <c r="A254" s="269" t="s">
        <v>787</v>
      </c>
      <c r="B254" s="18" t="s">
        <v>788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789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t="14.4" hidden="1" x14ac:dyDescent="0.5">
      <c r="A255" s="270" t="s">
        <v>790</v>
      </c>
      <c r="B255" s="18" t="s">
        <v>791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792</v>
      </c>
      <c r="J255" s="19">
        <v>1</v>
      </c>
      <c r="K255" s="19">
        <v>0.22</v>
      </c>
      <c r="L255" s="19">
        <v>1</v>
      </c>
      <c r="M255" s="20">
        <v>0.44</v>
      </c>
    </row>
    <row r="256" spans="1:13" ht="14.4" x14ac:dyDescent="0.5">
      <c r="A256" s="271" t="s">
        <v>793</v>
      </c>
      <c r="B256" s="18" t="s">
        <v>794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326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t="14.4" hidden="1" x14ac:dyDescent="0.5">
      <c r="A257" s="272" t="s">
        <v>795</v>
      </c>
      <c r="B257" s="18" t="s">
        <v>796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742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t="14.4" hidden="1" x14ac:dyDescent="0.5">
      <c r="A258" s="273" t="s">
        <v>797</v>
      </c>
      <c r="B258" s="18" t="s">
        <v>798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445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ht="14.4" x14ac:dyDescent="0.5">
      <c r="A259" s="274" t="s">
        <v>799</v>
      </c>
      <c r="B259" s="18" t="s">
        <v>800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801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t="14.4" hidden="1" x14ac:dyDescent="0.5">
      <c r="A260" s="275" t="s">
        <v>802</v>
      </c>
      <c r="B260" s="18" t="s">
        <v>803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804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t="14.4" hidden="1" x14ac:dyDescent="0.5">
      <c r="A261" s="276" t="s">
        <v>805</v>
      </c>
      <c r="B261" s="18" t="s">
        <v>806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180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t="14.4" hidden="1" x14ac:dyDescent="0.5">
      <c r="A262" s="277" t="s">
        <v>807</v>
      </c>
      <c r="B262" s="18" t="s">
        <v>808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174</v>
      </c>
      <c r="J262" s="19">
        <v>1</v>
      </c>
      <c r="K262" s="19">
        <v>0.6</v>
      </c>
      <c r="L262" s="19">
        <v>0.8</v>
      </c>
      <c r="M262" s="20">
        <v>1</v>
      </c>
    </row>
    <row r="263" spans="1:13" ht="14.4" hidden="1" x14ac:dyDescent="0.5">
      <c r="A263" s="161" t="s">
        <v>809</v>
      </c>
      <c r="B263" s="18" t="s">
        <v>520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521</v>
      </c>
      <c r="J263" s="19">
        <v>1</v>
      </c>
      <c r="K263" s="19">
        <v>0.5</v>
      </c>
      <c r="L263" s="19">
        <v>1</v>
      </c>
      <c r="M263" s="20">
        <v>1</v>
      </c>
    </row>
    <row r="264" spans="1:13" ht="14.4" x14ac:dyDescent="0.5">
      <c r="A264" s="278" t="s">
        <v>810</v>
      </c>
      <c r="B264" s="18" t="s">
        <v>811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573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ht="14.4" x14ac:dyDescent="0.5">
      <c r="A265" s="279" t="s">
        <v>812</v>
      </c>
      <c r="B265" s="18" t="s">
        <v>813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189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ht="14.4" x14ac:dyDescent="0.5">
      <c r="A266" s="280" t="s">
        <v>814</v>
      </c>
      <c r="B266" s="18" t="s">
        <v>815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816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ht="14.4" x14ac:dyDescent="0.5">
      <c r="A267" s="281" t="s">
        <v>817</v>
      </c>
      <c r="B267" s="18" t="s">
        <v>818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819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t="14.4" hidden="1" x14ac:dyDescent="0.5">
      <c r="A268" s="155" t="s">
        <v>820</v>
      </c>
      <c r="B268" s="18" t="s">
        <v>506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307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t="14.4" hidden="1" x14ac:dyDescent="0.5">
      <c r="A269" s="282" t="s">
        <v>821</v>
      </c>
      <c r="B269" s="18" t="s">
        <v>822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465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ht="14.4" x14ac:dyDescent="0.5">
      <c r="A270" s="283" t="s">
        <v>823</v>
      </c>
      <c r="B270" s="18" t="s">
        <v>824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326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t="14.4" hidden="1" x14ac:dyDescent="0.5">
      <c r="A271" s="284" t="s">
        <v>825</v>
      </c>
      <c r="B271" s="18" t="s">
        <v>826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265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t="14.4" hidden="1" x14ac:dyDescent="0.5">
      <c r="A272" s="285" t="s">
        <v>827</v>
      </c>
      <c r="B272" s="18" t="s">
        <v>828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829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ht="14.4" x14ac:dyDescent="0.5">
      <c r="A273" s="80" t="s">
        <v>830</v>
      </c>
      <c r="B273" s="18" t="s">
        <v>311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284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t="14.4" hidden="1" x14ac:dyDescent="0.5">
      <c r="A274" s="286" t="s">
        <v>831</v>
      </c>
      <c r="B274" s="18" t="s">
        <v>832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359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t="14.4" hidden="1" x14ac:dyDescent="0.5">
      <c r="A275" s="287" t="s">
        <v>833</v>
      </c>
      <c r="B275" s="18" t="s">
        <v>834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332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t="14.4" hidden="1" x14ac:dyDescent="0.5">
      <c r="A276" s="288" t="s">
        <v>835</v>
      </c>
      <c r="B276" s="18" t="s">
        <v>836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218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ht="14.4" x14ac:dyDescent="0.5">
      <c r="A277" s="289" t="s">
        <v>837</v>
      </c>
      <c r="B277" s="18" t="s">
        <v>838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839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t="14.4" hidden="1" x14ac:dyDescent="0.5">
      <c r="A278" s="290" t="s">
        <v>840</v>
      </c>
      <c r="B278" s="18" t="s">
        <v>841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195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ht="14.4" x14ac:dyDescent="0.5">
      <c r="A279" s="291" t="s">
        <v>842</v>
      </c>
      <c r="B279" s="18" t="s">
        <v>843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326</v>
      </c>
      <c r="J279" s="19">
        <v>0</v>
      </c>
      <c r="K279" s="19">
        <v>0.11</v>
      </c>
      <c r="L279" s="19">
        <v>0</v>
      </c>
      <c r="M279" s="20">
        <v>0.11</v>
      </c>
    </row>
    <row r="280" spans="1:13" ht="14.4" x14ac:dyDescent="0.5">
      <c r="A280" s="292" t="s">
        <v>844</v>
      </c>
      <c r="B280" s="18" t="s">
        <v>845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846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t="14.4" hidden="1" x14ac:dyDescent="0.5">
      <c r="A281" s="293" t="s">
        <v>847</v>
      </c>
      <c r="B281" s="18" t="s">
        <v>848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849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ht="14.4" x14ac:dyDescent="0.5">
      <c r="A282" s="294" t="s">
        <v>850</v>
      </c>
      <c r="B282" s="18" t="s">
        <v>851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852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ht="14.4" x14ac:dyDescent="0.5">
      <c r="A283" s="295" t="s">
        <v>853</v>
      </c>
      <c r="B283" s="18" t="s">
        <v>854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359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t="14.4" hidden="1" x14ac:dyDescent="0.5">
      <c r="A284" s="296" t="s">
        <v>855</v>
      </c>
      <c r="B284" s="18" t="s">
        <v>856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857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t="14.4" hidden="1" x14ac:dyDescent="0.5">
      <c r="A285" s="297" t="s">
        <v>858</v>
      </c>
      <c r="B285" s="18" t="s">
        <v>859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221</v>
      </c>
      <c r="J285" s="19">
        <v>1</v>
      </c>
      <c r="K285" s="19">
        <v>0.5</v>
      </c>
      <c r="L285" s="19">
        <v>1</v>
      </c>
      <c r="M285" s="20">
        <v>1</v>
      </c>
    </row>
    <row r="286" spans="1:13" ht="14.4" hidden="1" x14ac:dyDescent="0.5">
      <c r="A286" s="298" t="s">
        <v>860</v>
      </c>
      <c r="B286" s="18" t="s">
        <v>861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862</v>
      </c>
      <c r="J286" s="19">
        <v>1</v>
      </c>
      <c r="K286" s="19">
        <v>0.5</v>
      </c>
      <c r="L286" s="19">
        <v>1</v>
      </c>
      <c r="M286" s="20">
        <v>1</v>
      </c>
    </row>
    <row r="287" spans="1:13" ht="14.4" hidden="1" x14ac:dyDescent="0.5">
      <c r="A287" s="299" t="s">
        <v>863</v>
      </c>
      <c r="B287" s="18" t="s">
        <v>864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235</v>
      </c>
      <c r="J287" s="19">
        <v>1</v>
      </c>
      <c r="K287" s="19">
        <v>0.5</v>
      </c>
      <c r="L287" s="19">
        <v>1</v>
      </c>
      <c r="M287" s="20">
        <v>1</v>
      </c>
    </row>
    <row r="288" spans="1:13" ht="14.4" hidden="1" x14ac:dyDescent="0.5">
      <c r="A288" s="300" t="s">
        <v>865</v>
      </c>
      <c r="B288" s="18" t="s">
        <v>866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424</v>
      </c>
      <c r="J288" s="19">
        <v>1</v>
      </c>
      <c r="K288" s="19">
        <v>0.5</v>
      </c>
      <c r="L288" s="19">
        <v>1</v>
      </c>
      <c r="M288" s="20">
        <v>1</v>
      </c>
    </row>
    <row r="289" spans="1:13" ht="14.4" hidden="1" x14ac:dyDescent="0.5">
      <c r="A289" s="301" t="s">
        <v>867</v>
      </c>
      <c r="B289" s="18" t="s">
        <v>868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869</v>
      </c>
      <c r="J289" s="19">
        <v>1</v>
      </c>
      <c r="K289" s="19">
        <v>0.5</v>
      </c>
      <c r="L289" s="19">
        <v>1</v>
      </c>
      <c r="M289" s="20">
        <v>1</v>
      </c>
    </row>
    <row r="290" spans="1:13" ht="14.4" hidden="1" x14ac:dyDescent="0.5">
      <c r="A290" s="302" t="s">
        <v>870</v>
      </c>
      <c r="B290" s="18" t="s">
        <v>871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504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ht="14.4" x14ac:dyDescent="0.5">
      <c r="A291" s="303" t="s">
        <v>872</v>
      </c>
      <c r="B291" s="18" t="s">
        <v>873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874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ht="14.4" x14ac:dyDescent="0.5">
      <c r="A292" s="133" t="s">
        <v>875</v>
      </c>
      <c r="B292" s="18" t="s">
        <v>449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450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ht="14.4" x14ac:dyDescent="0.5">
      <c r="A293" s="304" t="s">
        <v>876</v>
      </c>
      <c r="B293" s="18" t="s">
        <v>877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183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ht="14.4" x14ac:dyDescent="0.5">
      <c r="A294" s="305" t="s">
        <v>878</v>
      </c>
      <c r="B294" s="18" t="s">
        <v>879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189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t="14.4" hidden="1" x14ac:dyDescent="0.5">
      <c r="A295" s="306" t="s">
        <v>880</v>
      </c>
      <c r="B295" s="18" t="s">
        <v>881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882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ht="14.4" x14ac:dyDescent="0.5">
      <c r="A296" s="307" t="s">
        <v>883</v>
      </c>
      <c r="B296" s="18" t="s">
        <v>884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885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t="14.4" hidden="1" x14ac:dyDescent="0.5">
      <c r="A297" s="308" t="s">
        <v>886</v>
      </c>
      <c r="B297" s="18" t="s">
        <v>887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247</v>
      </c>
      <c r="J297" s="19">
        <v>1</v>
      </c>
      <c r="K297" s="19">
        <v>0.5</v>
      </c>
      <c r="L297" s="19">
        <v>1</v>
      </c>
      <c r="M297" s="20">
        <v>1</v>
      </c>
    </row>
    <row r="298" spans="1:13" ht="14.4" hidden="1" x14ac:dyDescent="0.5">
      <c r="A298" s="309" t="s">
        <v>888</v>
      </c>
      <c r="B298" s="18" t="s">
        <v>889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890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t="14.4" hidden="1" x14ac:dyDescent="0.5">
      <c r="A299" s="155" t="s">
        <v>891</v>
      </c>
      <c r="B299" s="18" t="s">
        <v>506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307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ht="14.4" x14ac:dyDescent="0.5">
      <c r="A300" s="310" t="s">
        <v>892</v>
      </c>
      <c r="B300" s="18" t="s">
        <v>893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256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ht="14.4" x14ac:dyDescent="0.5">
      <c r="A301" s="311" t="s">
        <v>894</v>
      </c>
      <c r="B301" s="18" t="s">
        <v>895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896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t="14.4" hidden="1" x14ac:dyDescent="0.5">
      <c r="A302" s="312" t="s">
        <v>897</v>
      </c>
      <c r="B302" s="18" t="s">
        <v>898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183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t="14.4" hidden="1" x14ac:dyDescent="0.5">
      <c r="A303" s="313" t="s">
        <v>899</v>
      </c>
      <c r="B303" s="18" t="s">
        <v>900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896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t="14.4" hidden="1" x14ac:dyDescent="0.5">
      <c r="A304" s="314" t="s">
        <v>901</v>
      </c>
      <c r="B304" s="18" t="s">
        <v>902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174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ht="14.4" x14ac:dyDescent="0.5">
      <c r="A305" s="315" t="s">
        <v>903</v>
      </c>
      <c r="B305" s="18" t="s">
        <v>904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905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ht="14.4" x14ac:dyDescent="0.5">
      <c r="A306" s="316" t="s">
        <v>906</v>
      </c>
      <c r="B306" s="18" t="s">
        <v>907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908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ht="14.4" x14ac:dyDescent="0.5">
      <c r="A307" s="317" t="s">
        <v>909</v>
      </c>
      <c r="B307" s="18" t="s">
        <v>910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332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t="14.4" hidden="1" x14ac:dyDescent="0.5">
      <c r="A308" s="318" t="s">
        <v>911</v>
      </c>
      <c r="B308" s="18" t="s">
        <v>912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215</v>
      </c>
      <c r="J308" s="19">
        <v>1</v>
      </c>
      <c r="K308" s="19">
        <v>0.67</v>
      </c>
      <c r="L308" s="19">
        <v>0.67</v>
      </c>
      <c r="M308" s="20">
        <v>1</v>
      </c>
    </row>
    <row r="309" spans="1:13" ht="14.4" x14ac:dyDescent="0.5">
      <c r="A309" s="319" t="s">
        <v>913</v>
      </c>
      <c r="B309" s="18" t="s">
        <v>914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256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t="14.4" hidden="1" x14ac:dyDescent="0.5">
      <c r="A310" s="320" t="s">
        <v>915</v>
      </c>
      <c r="B310" s="18" t="s">
        <v>916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917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t="14.4" hidden="1" x14ac:dyDescent="0.5">
      <c r="A311" s="321" t="s">
        <v>918</v>
      </c>
      <c r="B311" s="18" t="s">
        <v>919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320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t="14.4" hidden="1" x14ac:dyDescent="0.5">
      <c r="A312" s="322" t="s">
        <v>920</v>
      </c>
      <c r="B312" s="18" t="s">
        <v>921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922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t="14.4" hidden="1" x14ac:dyDescent="0.5">
      <c r="A313" s="323" t="s">
        <v>923</v>
      </c>
      <c r="B313" s="18" t="s">
        <v>924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165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t="14.4" hidden="1" x14ac:dyDescent="0.5">
      <c r="A314" s="324" t="s">
        <v>925</v>
      </c>
      <c r="B314" s="18" t="s">
        <v>926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896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t="14.4" hidden="1" x14ac:dyDescent="0.5">
      <c r="A315" s="325" t="s">
        <v>927</v>
      </c>
      <c r="B315" s="18" t="s">
        <v>928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929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t="14.4" hidden="1" x14ac:dyDescent="0.5">
      <c r="A316" s="326" t="s">
        <v>930</v>
      </c>
      <c r="B316" s="18" t="s">
        <v>931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804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ht="14.4" x14ac:dyDescent="0.5">
      <c r="A317" s="327" t="s">
        <v>932</v>
      </c>
      <c r="B317" s="18" t="s">
        <v>933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504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t="14.4" hidden="1" x14ac:dyDescent="0.5">
      <c r="A318" s="328" t="s">
        <v>934</v>
      </c>
      <c r="B318" s="18" t="s">
        <v>935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936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ht="14.4" x14ac:dyDescent="0.5">
      <c r="A319" s="329" t="s">
        <v>937</v>
      </c>
      <c r="B319" s="18" t="s">
        <v>938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221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ht="14.4" x14ac:dyDescent="0.5">
      <c r="A320" s="152" t="s">
        <v>939</v>
      </c>
      <c r="B320" s="18" t="s">
        <v>498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499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ht="14.4" x14ac:dyDescent="0.5">
      <c r="A321" s="330" t="s">
        <v>940</v>
      </c>
      <c r="B321" s="18" t="s">
        <v>941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218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t="14.4" hidden="1" x14ac:dyDescent="0.5">
      <c r="A322" s="331" t="s">
        <v>942</v>
      </c>
      <c r="B322" s="18" t="s">
        <v>943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944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t="14.4" hidden="1" x14ac:dyDescent="0.5">
      <c r="A323" s="332" t="s">
        <v>945</v>
      </c>
      <c r="B323" s="18" t="s">
        <v>946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689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ht="14.4" x14ac:dyDescent="0.5">
      <c r="A324" s="333" t="s">
        <v>947</v>
      </c>
      <c r="B324" s="18" t="s">
        <v>948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949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t="14.4" hidden="1" x14ac:dyDescent="0.5">
      <c r="A325" s="334" t="s">
        <v>950</v>
      </c>
      <c r="B325" s="18" t="s">
        <v>951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952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t="14.4" hidden="1" x14ac:dyDescent="0.5">
      <c r="A326" s="335" t="s">
        <v>953</v>
      </c>
      <c r="B326" s="18" t="s">
        <v>954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747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t="14.4" hidden="1" x14ac:dyDescent="0.5">
      <c r="A327" s="336" t="s">
        <v>955</v>
      </c>
      <c r="B327" s="18" t="s">
        <v>956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957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t="14.4" hidden="1" x14ac:dyDescent="0.5">
      <c r="A328" s="337" t="s">
        <v>958</v>
      </c>
      <c r="B328" s="18" t="s">
        <v>959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342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t="14.4" hidden="1" x14ac:dyDescent="0.5">
      <c r="A329" s="338" t="s">
        <v>960</v>
      </c>
      <c r="B329" s="18" t="s">
        <v>961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183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t="14.4" hidden="1" x14ac:dyDescent="0.5">
      <c r="A330" s="339" t="s">
        <v>962</v>
      </c>
      <c r="B330" s="18" t="s">
        <v>963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964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t="14.4" hidden="1" x14ac:dyDescent="0.5">
      <c r="A331" s="340" t="s">
        <v>965</v>
      </c>
      <c r="B331" s="18" t="s">
        <v>966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967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t="14.4" hidden="1" x14ac:dyDescent="0.5">
      <c r="A332" s="341" t="s">
        <v>968</v>
      </c>
      <c r="B332" s="18" t="s">
        <v>969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970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t="14.4" hidden="1" x14ac:dyDescent="0.5">
      <c r="A333" s="342" t="s">
        <v>971</v>
      </c>
      <c r="B333" s="18" t="s">
        <v>972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747</v>
      </c>
      <c r="J333" s="19">
        <v>1</v>
      </c>
      <c r="K333" s="19">
        <v>0.5</v>
      </c>
      <c r="L333" s="19">
        <v>1</v>
      </c>
      <c r="M333" s="20">
        <v>1</v>
      </c>
    </row>
    <row r="334" spans="1:13" ht="14.4" hidden="1" x14ac:dyDescent="0.5">
      <c r="A334" s="343" t="s">
        <v>973</v>
      </c>
      <c r="B334" s="18" t="s">
        <v>974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747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t="14.4" hidden="1" x14ac:dyDescent="0.5">
      <c r="A335" s="344" t="s">
        <v>975</v>
      </c>
      <c r="B335" s="18" t="s">
        <v>976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603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t="14.4" hidden="1" x14ac:dyDescent="0.5">
      <c r="A336" s="345" t="s">
        <v>977</v>
      </c>
      <c r="B336" s="18" t="s">
        <v>978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979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t="14.4" hidden="1" x14ac:dyDescent="0.5">
      <c r="A337" s="346" t="s">
        <v>980</v>
      </c>
      <c r="B337" s="18" t="s">
        <v>981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445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t="14.4" hidden="1" x14ac:dyDescent="0.5">
      <c r="A338" s="347" t="s">
        <v>982</v>
      </c>
      <c r="B338" s="18" t="s">
        <v>983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4.1" x14ac:dyDescent="0.5"/>
  <cols>
    <col min="2" max="2" width="21.8203125" bestFit="1" customWidth="1"/>
    <col min="3" max="3" width="10.76171875" bestFit="1" customWidth="1"/>
  </cols>
  <sheetData>
    <row r="1" spans="1:3" ht="15" x14ac:dyDescent="0.5">
      <c r="A1" s="10" t="s">
        <v>984</v>
      </c>
      <c r="B1" s="10" t="s">
        <v>136</v>
      </c>
      <c r="C1" s="11" t="s">
        <v>137</v>
      </c>
    </row>
    <row r="2" spans="1:3" ht="15.6" x14ac:dyDescent="0.5">
      <c r="A2" s="8">
        <v>1</v>
      </c>
      <c r="B2" s="12" t="s">
        <v>500</v>
      </c>
      <c r="C2" s="9" t="s">
        <v>501</v>
      </c>
    </row>
    <row r="3" spans="1:3" ht="15.6" x14ac:dyDescent="0.5">
      <c r="A3" s="8">
        <v>2</v>
      </c>
      <c r="B3" s="12" t="s">
        <v>476</v>
      </c>
      <c r="C3" s="9" t="s">
        <v>477</v>
      </c>
    </row>
    <row r="4" spans="1:3" ht="15.6" x14ac:dyDescent="0.5">
      <c r="A4" s="8">
        <v>3</v>
      </c>
      <c r="B4" s="12" t="s">
        <v>876</v>
      </c>
      <c r="C4" s="9" t="s">
        <v>877</v>
      </c>
    </row>
    <row r="5" spans="1:3" ht="15.6" x14ac:dyDescent="0.5">
      <c r="A5" s="8">
        <v>4</v>
      </c>
      <c r="B5" s="12" t="s">
        <v>310</v>
      </c>
      <c r="C5" s="9" t="s">
        <v>311</v>
      </c>
    </row>
    <row r="6" spans="1:3" ht="15.6" x14ac:dyDescent="0.5">
      <c r="A6" s="8">
        <v>5</v>
      </c>
      <c r="B6" s="12" t="s">
        <v>679</v>
      </c>
      <c r="C6" s="9" t="s">
        <v>680</v>
      </c>
    </row>
    <row r="7" spans="1:3" ht="15.6" x14ac:dyDescent="0.5">
      <c r="A7" s="8">
        <v>6</v>
      </c>
      <c r="B7" s="12" t="s">
        <v>478</v>
      </c>
      <c r="C7" s="9" t="s">
        <v>479</v>
      </c>
    </row>
    <row r="8" spans="1:3" ht="15.6" x14ac:dyDescent="0.5">
      <c r="A8" s="8">
        <v>7</v>
      </c>
      <c r="B8" s="12" t="s">
        <v>254</v>
      </c>
      <c r="C8" s="9" t="s">
        <v>255</v>
      </c>
    </row>
    <row r="9" spans="1:3" ht="15.6" x14ac:dyDescent="0.5">
      <c r="A9" s="8">
        <v>8</v>
      </c>
      <c r="B9" s="12" t="s">
        <v>734</v>
      </c>
      <c r="C9" s="9" t="s">
        <v>735</v>
      </c>
    </row>
    <row r="10" spans="1:3" ht="15.6" x14ac:dyDescent="0.5">
      <c r="A10" s="8">
        <v>9</v>
      </c>
      <c r="B10" s="12" t="s">
        <v>717</v>
      </c>
      <c r="C10" s="9" t="s">
        <v>718</v>
      </c>
    </row>
    <row r="11" spans="1:3" ht="15.6" x14ac:dyDescent="0.5">
      <c r="A11" s="8">
        <v>10</v>
      </c>
      <c r="B11" s="12" t="s">
        <v>656</v>
      </c>
      <c r="C11" s="9" t="s">
        <v>657</v>
      </c>
    </row>
    <row r="12" spans="1:3" ht="15.6" x14ac:dyDescent="0.5">
      <c r="A12" s="8">
        <v>11</v>
      </c>
      <c r="B12" s="12" t="s">
        <v>706</v>
      </c>
      <c r="C12" s="9" t="s">
        <v>707</v>
      </c>
    </row>
    <row r="13" spans="1:3" ht="15.6" x14ac:dyDescent="0.5">
      <c r="A13" s="8">
        <v>12</v>
      </c>
      <c r="B13" s="12" t="s">
        <v>940</v>
      </c>
      <c r="C13" s="9" t="s">
        <v>941</v>
      </c>
    </row>
    <row r="14" spans="1:3" ht="15.6" x14ac:dyDescent="0.5">
      <c r="A14" s="8">
        <v>13</v>
      </c>
      <c r="B14" s="12" t="s">
        <v>823</v>
      </c>
      <c r="C14" s="9" t="s">
        <v>824</v>
      </c>
    </row>
    <row r="15" spans="1:3" ht="15.6" x14ac:dyDescent="0.5">
      <c r="A15" s="8">
        <v>14</v>
      </c>
      <c r="B15" s="12" t="s">
        <v>738</v>
      </c>
      <c r="C15" s="9" t="s">
        <v>739</v>
      </c>
    </row>
    <row r="16" spans="1:3" ht="15.6" x14ac:dyDescent="0.5">
      <c r="A16" s="8">
        <v>15</v>
      </c>
      <c r="B16" s="12" t="s">
        <v>894</v>
      </c>
      <c r="C16" s="9" t="s">
        <v>895</v>
      </c>
    </row>
    <row r="17" spans="1:3" ht="15.6" x14ac:dyDescent="0.5">
      <c r="A17" s="8">
        <v>16</v>
      </c>
      <c r="B17" s="12" t="s">
        <v>776</v>
      </c>
      <c r="C17" s="9" t="s">
        <v>777</v>
      </c>
    </row>
    <row r="18" spans="1:3" ht="15.6" x14ac:dyDescent="0.5">
      <c r="A18" s="8">
        <v>17</v>
      </c>
      <c r="B18" s="12" t="s">
        <v>413</v>
      </c>
      <c r="C18" s="9" t="s">
        <v>414</v>
      </c>
    </row>
    <row r="19" spans="1:3" ht="15.6" x14ac:dyDescent="0.5">
      <c r="A19" s="8">
        <v>18</v>
      </c>
      <c r="B19" s="12" t="s">
        <v>474</v>
      </c>
      <c r="C19" s="9" t="s">
        <v>475</v>
      </c>
    </row>
    <row r="20" spans="1:3" ht="15.6" x14ac:dyDescent="0.5">
      <c r="A20" s="8">
        <v>19</v>
      </c>
      <c r="B20" s="12" t="s">
        <v>471</v>
      </c>
      <c r="C20" s="9" t="s">
        <v>472</v>
      </c>
    </row>
    <row r="21" spans="1:3" ht="15.6" x14ac:dyDescent="0.5">
      <c r="A21" s="8">
        <v>20</v>
      </c>
      <c r="B21" s="12" t="s">
        <v>497</v>
      </c>
      <c r="C21" s="9" t="s">
        <v>498</v>
      </c>
    </row>
    <row r="22" spans="1:3" ht="15.6" x14ac:dyDescent="0.5">
      <c r="A22" s="8">
        <v>21</v>
      </c>
      <c r="B22" s="12" t="s">
        <v>210</v>
      </c>
      <c r="C22" s="9" t="s">
        <v>211</v>
      </c>
    </row>
    <row r="23" spans="1:3" ht="15.6" x14ac:dyDescent="0.5">
      <c r="A23" s="8">
        <v>22</v>
      </c>
      <c r="B23" s="12" t="s">
        <v>337</v>
      </c>
      <c r="C23" s="9" t="s">
        <v>338</v>
      </c>
    </row>
    <row r="24" spans="1:3" ht="15.6" x14ac:dyDescent="0.5">
      <c r="A24" s="8">
        <v>23</v>
      </c>
      <c r="B24" s="12" t="s">
        <v>720</v>
      </c>
      <c r="C24" s="9" t="s">
        <v>721</v>
      </c>
    </row>
    <row r="25" spans="1:3" ht="15.6" x14ac:dyDescent="0.5">
      <c r="A25" s="8">
        <v>24</v>
      </c>
      <c r="B25" s="12" t="s">
        <v>148</v>
      </c>
      <c r="C25" s="9" t="s">
        <v>149</v>
      </c>
    </row>
    <row r="26" spans="1:3" ht="15.6" x14ac:dyDescent="0.5">
      <c r="A26" s="8">
        <v>25</v>
      </c>
      <c r="B26" s="12" t="s">
        <v>346</v>
      </c>
      <c r="C26" s="9" t="s">
        <v>347</v>
      </c>
    </row>
    <row r="27" spans="1:3" ht="15.6" x14ac:dyDescent="0.5">
      <c r="A27" s="8">
        <v>26</v>
      </c>
      <c r="B27" s="12" t="s">
        <v>650</v>
      </c>
      <c r="C27" s="9" t="s">
        <v>651</v>
      </c>
    </row>
    <row r="28" spans="1:3" ht="15.6" x14ac:dyDescent="0.5">
      <c r="A28" s="8">
        <v>27</v>
      </c>
      <c r="B28" s="12" t="s">
        <v>906</v>
      </c>
      <c r="C28" s="9" t="s">
        <v>907</v>
      </c>
    </row>
    <row r="29" spans="1:3" ht="15.6" x14ac:dyDescent="0.5">
      <c r="A29" s="8">
        <v>28</v>
      </c>
      <c r="B29" s="12" t="s">
        <v>584</v>
      </c>
      <c r="C29" s="9" t="s">
        <v>585</v>
      </c>
    </row>
    <row r="30" spans="1:3" ht="15.6" x14ac:dyDescent="0.5">
      <c r="A30" s="8">
        <v>29</v>
      </c>
      <c r="B30" s="12" t="s">
        <v>932</v>
      </c>
      <c r="C30" s="9" t="s">
        <v>933</v>
      </c>
    </row>
    <row r="31" spans="1:3" ht="15.6" x14ac:dyDescent="0.5">
      <c r="A31" s="8">
        <v>30</v>
      </c>
      <c r="B31" s="12" t="s">
        <v>207</v>
      </c>
      <c r="C31" s="9" t="s">
        <v>208</v>
      </c>
    </row>
    <row r="32" spans="1:3" ht="15.6" x14ac:dyDescent="0.5">
      <c r="A32" s="8">
        <v>31</v>
      </c>
      <c r="B32" s="12" t="s">
        <v>883</v>
      </c>
      <c r="C32" s="9" t="s">
        <v>884</v>
      </c>
    </row>
    <row r="33" spans="1:3" ht="15.6" x14ac:dyDescent="0.5">
      <c r="A33" s="8">
        <v>32</v>
      </c>
      <c r="B33" s="12" t="s">
        <v>469</v>
      </c>
      <c r="C33" s="9" t="s">
        <v>470</v>
      </c>
    </row>
    <row r="34" spans="1:3" ht="15.6" x14ac:dyDescent="0.5">
      <c r="A34" s="8">
        <v>33</v>
      </c>
      <c r="B34" s="12" t="s">
        <v>695</v>
      </c>
      <c r="C34" s="9" t="s">
        <v>696</v>
      </c>
    </row>
    <row r="35" spans="1:3" ht="15.6" x14ac:dyDescent="0.5">
      <c r="A35" s="8">
        <v>34</v>
      </c>
      <c r="B35" s="12" t="s">
        <v>451</v>
      </c>
      <c r="C35" s="9" t="s">
        <v>452</v>
      </c>
    </row>
    <row r="36" spans="1:3" ht="15.6" x14ac:dyDescent="0.5">
      <c r="A36" s="8">
        <v>35</v>
      </c>
      <c r="B36" s="12" t="s">
        <v>660</v>
      </c>
      <c r="C36" s="9" t="s">
        <v>661</v>
      </c>
    </row>
    <row r="37" spans="1:3" ht="15.6" x14ac:dyDescent="0.5">
      <c r="A37" s="8">
        <v>36</v>
      </c>
      <c r="B37" s="12" t="s">
        <v>842</v>
      </c>
      <c r="C37" s="9" t="s">
        <v>843</v>
      </c>
    </row>
    <row r="38" spans="1:3" ht="15.6" x14ac:dyDescent="0.5">
      <c r="A38" s="8">
        <v>37</v>
      </c>
      <c r="B38" s="12" t="s">
        <v>537</v>
      </c>
      <c r="C38" s="9" t="s">
        <v>538</v>
      </c>
    </row>
    <row r="39" spans="1:3" ht="15.6" x14ac:dyDescent="0.5">
      <c r="A39" s="8">
        <v>38</v>
      </c>
      <c r="B39" s="12" t="s">
        <v>853</v>
      </c>
      <c r="C39" s="9" t="s">
        <v>854</v>
      </c>
    </row>
    <row r="40" spans="1:3" ht="15.6" x14ac:dyDescent="0.5">
      <c r="A40" s="8">
        <v>39</v>
      </c>
      <c r="B40" s="12" t="s">
        <v>308</v>
      </c>
      <c r="C40" s="9" t="s">
        <v>309</v>
      </c>
    </row>
    <row r="41" spans="1:3" ht="15.6" x14ac:dyDescent="0.5">
      <c r="A41" s="8">
        <v>40</v>
      </c>
      <c r="B41" s="12" t="s">
        <v>606</v>
      </c>
      <c r="C41" s="9" t="s">
        <v>607</v>
      </c>
    </row>
    <row r="42" spans="1:3" ht="15.6" x14ac:dyDescent="0.5">
      <c r="A42" s="8">
        <v>41</v>
      </c>
      <c r="B42" s="12" t="s">
        <v>380</v>
      </c>
      <c r="C42" s="9" t="s">
        <v>381</v>
      </c>
    </row>
    <row r="43" spans="1:3" ht="15.6" x14ac:dyDescent="0.5">
      <c r="A43" s="8">
        <v>42</v>
      </c>
      <c r="B43" s="12" t="s">
        <v>725</v>
      </c>
      <c r="C43" s="9" t="s">
        <v>726</v>
      </c>
    </row>
    <row r="44" spans="1:3" ht="15.6" x14ac:dyDescent="0.5">
      <c r="A44" s="8">
        <v>43</v>
      </c>
      <c r="B44" s="12" t="s">
        <v>632</v>
      </c>
      <c r="C44" s="9" t="s">
        <v>633</v>
      </c>
    </row>
    <row r="45" spans="1:3" ht="15.6" x14ac:dyDescent="0.5">
      <c r="A45" s="8">
        <v>44</v>
      </c>
      <c r="B45" s="12" t="s">
        <v>446</v>
      </c>
      <c r="C45" s="9" t="s">
        <v>447</v>
      </c>
    </row>
    <row r="46" spans="1:3" ht="15.6" x14ac:dyDescent="0.5">
      <c r="A46" s="8">
        <v>45</v>
      </c>
      <c r="B46" s="12" t="s">
        <v>635</v>
      </c>
      <c r="C46" s="9" t="s">
        <v>636</v>
      </c>
    </row>
    <row r="47" spans="1:3" ht="15.6" x14ac:dyDescent="0.5">
      <c r="A47" s="8">
        <v>46</v>
      </c>
      <c r="B47" s="12" t="s">
        <v>178</v>
      </c>
      <c r="C47" s="9" t="s">
        <v>179</v>
      </c>
    </row>
    <row r="48" spans="1:3" ht="15.6" x14ac:dyDescent="0.5">
      <c r="A48" s="8">
        <v>47</v>
      </c>
      <c r="B48" s="12" t="s">
        <v>937</v>
      </c>
      <c r="C48" s="9" t="s">
        <v>938</v>
      </c>
    </row>
    <row r="49" spans="1:3" ht="15.6" x14ac:dyDescent="0.5">
      <c r="A49" s="8">
        <v>48</v>
      </c>
      <c r="B49" s="12" t="s">
        <v>740</v>
      </c>
      <c r="C49" s="9" t="s">
        <v>741</v>
      </c>
    </row>
    <row r="50" spans="1:3" ht="15.6" x14ac:dyDescent="0.5">
      <c r="A50" s="8">
        <v>49</v>
      </c>
      <c r="B50" s="12" t="s">
        <v>939</v>
      </c>
      <c r="C50" s="9" t="s">
        <v>498</v>
      </c>
    </row>
    <row r="51" spans="1:3" ht="15.6" x14ac:dyDescent="0.5">
      <c r="A51" s="8">
        <v>50</v>
      </c>
      <c r="B51" s="12" t="s">
        <v>913</v>
      </c>
      <c r="C51" s="9" t="s">
        <v>914</v>
      </c>
    </row>
    <row r="52" spans="1:3" ht="15.6" x14ac:dyDescent="0.5">
      <c r="A52" s="8">
        <v>51</v>
      </c>
      <c r="B52" s="12" t="s">
        <v>333</v>
      </c>
      <c r="C52" s="9" t="s">
        <v>334</v>
      </c>
    </row>
    <row r="53" spans="1:3" ht="15.6" x14ac:dyDescent="0.5">
      <c r="A53" s="8">
        <v>52</v>
      </c>
      <c r="B53" s="12" t="s">
        <v>647</v>
      </c>
      <c r="C53" s="9" t="s">
        <v>648</v>
      </c>
    </row>
    <row r="54" spans="1:3" ht="15.6" x14ac:dyDescent="0.5">
      <c r="A54" s="8">
        <v>53</v>
      </c>
      <c r="B54" s="12" t="s">
        <v>239</v>
      </c>
      <c r="C54" s="9" t="s">
        <v>240</v>
      </c>
    </row>
    <row r="55" spans="1:3" ht="15.6" x14ac:dyDescent="0.5">
      <c r="A55" s="8">
        <v>54</v>
      </c>
      <c r="B55" s="12" t="s">
        <v>522</v>
      </c>
      <c r="C55" s="9" t="s">
        <v>523</v>
      </c>
    </row>
    <row r="56" spans="1:3" ht="15.6" x14ac:dyDescent="0.5">
      <c r="A56" s="8">
        <v>55</v>
      </c>
      <c r="B56" s="12" t="s">
        <v>830</v>
      </c>
      <c r="C56" s="9" t="s">
        <v>311</v>
      </c>
    </row>
    <row r="57" spans="1:3" ht="15.6" x14ac:dyDescent="0.5">
      <c r="A57" s="8">
        <v>56</v>
      </c>
      <c r="B57" s="12" t="s">
        <v>837</v>
      </c>
      <c r="C57" s="9" t="s">
        <v>838</v>
      </c>
    </row>
    <row r="58" spans="1:3" ht="15.6" x14ac:dyDescent="0.5">
      <c r="A58" s="8">
        <v>57</v>
      </c>
      <c r="B58" s="12" t="s">
        <v>604</v>
      </c>
      <c r="C58" s="9" t="s">
        <v>605</v>
      </c>
    </row>
    <row r="59" spans="1:3" ht="15.6" x14ac:dyDescent="0.5">
      <c r="A59" s="8">
        <v>58</v>
      </c>
      <c r="B59" s="12" t="s">
        <v>850</v>
      </c>
      <c r="C59" s="9" t="s">
        <v>851</v>
      </c>
    </row>
    <row r="60" spans="1:3" ht="15.6" x14ac:dyDescent="0.5">
      <c r="A60" s="8">
        <v>59</v>
      </c>
      <c r="B60" s="12" t="s">
        <v>184</v>
      </c>
      <c r="C60" s="9" t="s">
        <v>185</v>
      </c>
    </row>
    <row r="61" spans="1:3" ht="15.6" x14ac:dyDescent="0.5">
      <c r="A61" s="8">
        <v>60</v>
      </c>
      <c r="B61" s="12" t="s">
        <v>236</v>
      </c>
      <c r="C61" s="9" t="s">
        <v>237</v>
      </c>
    </row>
    <row r="62" spans="1:3" ht="15.6" x14ac:dyDescent="0.5">
      <c r="A62" s="8">
        <v>61</v>
      </c>
      <c r="B62" s="12" t="s">
        <v>736</v>
      </c>
      <c r="C62" s="9" t="s">
        <v>737</v>
      </c>
    </row>
    <row r="63" spans="1:3" ht="15.6" x14ac:dyDescent="0.5">
      <c r="A63" s="8">
        <v>62</v>
      </c>
      <c r="B63" s="12" t="s">
        <v>546</v>
      </c>
      <c r="C63" s="9" t="s">
        <v>547</v>
      </c>
    </row>
    <row r="64" spans="1:3" ht="15.6" x14ac:dyDescent="0.5">
      <c r="A64" s="8">
        <v>63</v>
      </c>
      <c r="B64" s="12" t="s">
        <v>715</v>
      </c>
      <c r="C64" s="9" t="s">
        <v>716</v>
      </c>
    </row>
    <row r="65" spans="1:3" ht="15.6" x14ac:dyDescent="0.5">
      <c r="A65" s="8">
        <v>64</v>
      </c>
      <c r="B65" s="12" t="s">
        <v>878</v>
      </c>
      <c r="C65" s="9" t="s">
        <v>879</v>
      </c>
    </row>
    <row r="66" spans="1:3" ht="15.6" x14ac:dyDescent="0.5">
      <c r="A66" s="8">
        <v>65</v>
      </c>
      <c r="B66" s="12" t="s">
        <v>810</v>
      </c>
      <c r="C66" s="9" t="s">
        <v>811</v>
      </c>
    </row>
    <row r="67" spans="1:3" ht="15.6" x14ac:dyDescent="0.5">
      <c r="A67" s="8">
        <v>66</v>
      </c>
      <c r="B67" s="12" t="s">
        <v>295</v>
      </c>
      <c r="C67" s="9" t="s">
        <v>296</v>
      </c>
    </row>
    <row r="68" spans="1:3" ht="15.6" x14ac:dyDescent="0.5">
      <c r="A68" s="8">
        <v>67</v>
      </c>
      <c r="B68" s="12" t="s">
        <v>190</v>
      </c>
      <c r="C68" s="9" t="s">
        <v>191</v>
      </c>
    </row>
    <row r="69" spans="1:3" ht="15.6" x14ac:dyDescent="0.5">
      <c r="A69" s="8">
        <v>68</v>
      </c>
      <c r="B69" s="12" t="s">
        <v>779</v>
      </c>
      <c r="C69" s="9" t="s">
        <v>780</v>
      </c>
    </row>
    <row r="70" spans="1:3" ht="15.6" x14ac:dyDescent="0.5">
      <c r="A70" s="8">
        <v>69</v>
      </c>
      <c r="B70" s="12" t="s">
        <v>484</v>
      </c>
      <c r="C70" s="9" t="s">
        <v>485</v>
      </c>
    </row>
    <row r="71" spans="1:3" ht="15.6" x14ac:dyDescent="0.5">
      <c r="A71" s="8">
        <v>70</v>
      </c>
      <c r="B71" s="12" t="s">
        <v>844</v>
      </c>
      <c r="C71" s="9" t="s">
        <v>845</v>
      </c>
    </row>
    <row r="72" spans="1:3" ht="15.6" x14ac:dyDescent="0.5">
      <c r="A72" s="8">
        <v>71</v>
      </c>
      <c r="B72" s="12" t="s">
        <v>743</v>
      </c>
      <c r="C72" s="9" t="s">
        <v>744</v>
      </c>
    </row>
    <row r="73" spans="1:3" ht="15.6" x14ac:dyDescent="0.5">
      <c r="A73" s="8">
        <v>72</v>
      </c>
      <c r="B73" s="12" t="s">
        <v>213</v>
      </c>
      <c r="C73" s="9" t="s">
        <v>214</v>
      </c>
    </row>
    <row r="74" spans="1:3" ht="15.6" x14ac:dyDescent="0.5">
      <c r="A74" s="8">
        <v>73</v>
      </c>
      <c r="B74" s="12" t="s">
        <v>751</v>
      </c>
      <c r="C74" s="9" t="s">
        <v>752</v>
      </c>
    </row>
    <row r="75" spans="1:3" ht="15.6" x14ac:dyDescent="0.5">
      <c r="A75" s="8">
        <v>74</v>
      </c>
      <c r="B75" s="12" t="s">
        <v>793</v>
      </c>
      <c r="C75" s="9" t="s">
        <v>794</v>
      </c>
    </row>
    <row r="76" spans="1:3" ht="15.6" x14ac:dyDescent="0.5">
      <c r="A76" s="8">
        <v>75</v>
      </c>
      <c r="B76" s="12" t="s">
        <v>596</v>
      </c>
      <c r="C76" s="9" t="s">
        <v>597</v>
      </c>
    </row>
    <row r="77" spans="1:3" ht="15.6" x14ac:dyDescent="0.5">
      <c r="A77" s="8">
        <v>76</v>
      </c>
      <c r="B77" s="12" t="s">
        <v>909</v>
      </c>
      <c r="C77" s="9" t="s">
        <v>910</v>
      </c>
    </row>
    <row r="78" spans="1:3" ht="15.6" x14ac:dyDescent="0.5">
      <c r="A78" s="8">
        <v>77</v>
      </c>
      <c r="B78" s="12" t="s">
        <v>781</v>
      </c>
      <c r="C78" s="9" t="s">
        <v>782</v>
      </c>
    </row>
    <row r="79" spans="1:3" ht="15.6" x14ac:dyDescent="0.5">
      <c r="A79" s="8">
        <v>78</v>
      </c>
      <c r="B79" s="12" t="s">
        <v>299</v>
      </c>
      <c r="C79" s="9" t="s">
        <v>300</v>
      </c>
    </row>
    <row r="80" spans="1:3" ht="15.6" x14ac:dyDescent="0.5">
      <c r="A80" s="8">
        <v>79</v>
      </c>
      <c r="B80" s="12" t="s">
        <v>619</v>
      </c>
      <c r="C80" s="9" t="s">
        <v>620</v>
      </c>
    </row>
    <row r="81" spans="1:3" ht="15.6" x14ac:dyDescent="0.5">
      <c r="A81" s="8">
        <v>80</v>
      </c>
      <c r="B81" s="12" t="s">
        <v>872</v>
      </c>
      <c r="C81" s="9" t="s">
        <v>873</v>
      </c>
    </row>
    <row r="82" spans="1:3" ht="15.6" x14ac:dyDescent="0.5">
      <c r="A82" s="8">
        <v>81</v>
      </c>
      <c r="B82" s="12" t="s">
        <v>762</v>
      </c>
      <c r="C82" s="9" t="s">
        <v>763</v>
      </c>
    </row>
    <row r="83" spans="1:3" ht="15.6" x14ac:dyDescent="0.5">
      <c r="A83" s="8">
        <v>82</v>
      </c>
      <c r="B83" s="12" t="s">
        <v>398</v>
      </c>
      <c r="C83" s="9" t="s">
        <v>399</v>
      </c>
    </row>
    <row r="84" spans="1:3" ht="15.6" x14ac:dyDescent="0.5">
      <c r="A84" s="8">
        <v>83</v>
      </c>
      <c r="B84" s="12" t="s">
        <v>291</v>
      </c>
      <c r="C84" s="9" t="s">
        <v>292</v>
      </c>
    </row>
    <row r="85" spans="1:3" ht="15.6" x14ac:dyDescent="0.5">
      <c r="A85" s="8">
        <v>84</v>
      </c>
      <c r="B85" s="12" t="s">
        <v>245</v>
      </c>
      <c r="C85" s="9" t="s">
        <v>246</v>
      </c>
    </row>
    <row r="86" spans="1:3" ht="15.6" x14ac:dyDescent="0.5">
      <c r="A86" s="8">
        <v>85</v>
      </c>
      <c r="B86" s="12" t="s">
        <v>556</v>
      </c>
      <c r="C86" s="9" t="s">
        <v>557</v>
      </c>
    </row>
    <row r="87" spans="1:3" ht="15.6" x14ac:dyDescent="0.5">
      <c r="A87" s="8">
        <v>86</v>
      </c>
      <c r="B87" s="12" t="s">
        <v>623</v>
      </c>
      <c r="C87" s="9" t="s">
        <v>624</v>
      </c>
    </row>
    <row r="88" spans="1:3" ht="15.6" x14ac:dyDescent="0.5">
      <c r="A88" s="8">
        <v>87</v>
      </c>
      <c r="B88" s="12" t="s">
        <v>875</v>
      </c>
      <c r="C88" s="9" t="s">
        <v>449</v>
      </c>
    </row>
    <row r="89" spans="1:3" ht="15.6" x14ac:dyDescent="0.5">
      <c r="A89" s="8">
        <v>88</v>
      </c>
      <c r="B89" s="12" t="s">
        <v>460</v>
      </c>
      <c r="C89" s="9" t="s">
        <v>461</v>
      </c>
    </row>
    <row r="90" spans="1:3" ht="15.6" x14ac:dyDescent="0.5">
      <c r="A90" s="8">
        <v>89</v>
      </c>
      <c r="B90" s="12" t="s">
        <v>335</v>
      </c>
      <c r="C90" s="9" t="s">
        <v>336</v>
      </c>
    </row>
    <row r="91" spans="1:3" ht="15.6" x14ac:dyDescent="0.5">
      <c r="A91" s="8">
        <v>90</v>
      </c>
      <c r="B91" s="12" t="s">
        <v>640</v>
      </c>
      <c r="C91" s="9" t="s">
        <v>641</v>
      </c>
    </row>
    <row r="92" spans="1:3" ht="15.6" x14ac:dyDescent="0.5">
      <c r="A92" s="8">
        <v>91</v>
      </c>
      <c r="B92" s="12" t="s">
        <v>330</v>
      </c>
      <c r="C92" s="9" t="s">
        <v>331</v>
      </c>
    </row>
    <row r="93" spans="1:3" ht="15.6" x14ac:dyDescent="0.5">
      <c r="A93" s="8">
        <v>92</v>
      </c>
      <c r="B93" s="12" t="s">
        <v>340</v>
      </c>
      <c r="C93" s="9" t="s">
        <v>341</v>
      </c>
    </row>
    <row r="94" spans="1:3" ht="15.6" x14ac:dyDescent="0.5">
      <c r="A94" s="8">
        <v>93</v>
      </c>
      <c r="B94" s="12" t="s">
        <v>903</v>
      </c>
      <c r="C94" s="9" t="s">
        <v>904</v>
      </c>
    </row>
    <row r="95" spans="1:3" ht="15.6" x14ac:dyDescent="0.5">
      <c r="A95" s="8">
        <v>94</v>
      </c>
      <c r="B95" s="12" t="s">
        <v>396</v>
      </c>
      <c r="C95" s="9" t="s">
        <v>397</v>
      </c>
    </row>
    <row r="96" spans="1:3" ht="15.6" x14ac:dyDescent="0.5">
      <c r="A96" s="8">
        <v>95</v>
      </c>
      <c r="B96" s="12" t="s">
        <v>582</v>
      </c>
      <c r="C96" s="9" t="s">
        <v>583</v>
      </c>
    </row>
    <row r="97" spans="1:3" ht="15.6" x14ac:dyDescent="0.5">
      <c r="A97" s="8">
        <v>96</v>
      </c>
      <c r="B97" s="12" t="s">
        <v>814</v>
      </c>
      <c r="C97" s="9" t="s">
        <v>815</v>
      </c>
    </row>
    <row r="98" spans="1:3" ht="15.6" x14ac:dyDescent="0.5">
      <c r="A98" s="8">
        <v>97</v>
      </c>
      <c r="B98" s="12" t="s">
        <v>321</v>
      </c>
      <c r="C98" s="9" t="s">
        <v>322</v>
      </c>
    </row>
    <row r="99" spans="1:3" ht="15.6" x14ac:dyDescent="0.5">
      <c r="A99" s="8">
        <v>98</v>
      </c>
      <c r="B99" s="12" t="s">
        <v>799</v>
      </c>
      <c r="C99" s="9" t="s">
        <v>800</v>
      </c>
    </row>
    <row r="100" spans="1:3" ht="15.6" x14ac:dyDescent="0.5">
      <c r="A100" s="8">
        <v>99</v>
      </c>
      <c r="B100" s="12" t="s">
        <v>371</v>
      </c>
      <c r="C100" s="9" t="s">
        <v>372</v>
      </c>
    </row>
    <row r="101" spans="1:3" ht="15.6" x14ac:dyDescent="0.5">
      <c r="A101" s="8">
        <v>100</v>
      </c>
      <c r="B101" s="12" t="s">
        <v>684</v>
      </c>
      <c r="C101" s="9" t="s">
        <v>685</v>
      </c>
    </row>
    <row r="102" spans="1:3" ht="15.6" x14ac:dyDescent="0.5">
      <c r="A102" s="8">
        <v>101</v>
      </c>
      <c r="B102" s="12" t="s">
        <v>817</v>
      </c>
      <c r="C102" s="9" t="s">
        <v>818</v>
      </c>
    </row>
    <row r="103" spans="1:3" ht="15.6" x14ac:dyDescent="0.5">
      <c r="A103" s="8">
        <v>102</v>
      </c>
      <c r="B103" s="12" t="s">
        <v>248</v>
      </c>
      <c r="C103" s="9" t="s">
        <v>249</v>
      </c>
    </row>
    <row r="104" spans="1:3" ht="15.6" x14ac:dyDescent="0.5">
      <c r="A104" s="8">
        <v>103</v>
      </c>
      <c r="B104" s="12" t="s">
        <v>669</v>
      </c>
      <c r="C104" s="9" t="s">
        <v>670</v>
      </c>
    </row>
    <row r="105" spans="1:3" ht="15.6" x14ac:dyDescent="0.5">
      <c r="A105" s="8">
        <v>104</v>
      </c>
      <c r="B105" s="12" t="s">
        <v>393</v>
      </c>
      <c r="C105" s="9" t="s">
        <v>394</v>
      </c>
    </row>
    <row r="106" spans="1:3" ht="15.6" x14ac:dyDescent="0.5">
      <c r="A106" s="8">
        <v>105</v>
      </c>
      <c r="B106" s="12" t="s">
        <v>812</v>
      </c>
      <c r="C106" s="9" t="s">
        <v>813</v>
      </c>
    </row>
    <row r="107" spans="1:3" ht="15.6" x14ac:dyDescent="0.5">
      <c r="A107" s="8">
        <v>106</v>
      </c>
      <c r="B107" s="12" t="s">
        <v>772</v>
      </c>
      <c r="C107" s="9" t="s">
        <v>773</v>
      </c>
    </row>
    <row r="108" spans="1:3" ht="15.6" x14ac:dyDescent="0.5">
      <c r="A108" s="8">
        <v>107</v>
      </c>
      <c r="B108" s="12" t="s">
        <v>302</v>
      </c>
      <c r="C108" s="9" t="s">
        <v>303</v>
      </c>
    </row>
    <row r="109" spans="1:3" ht="15.6" x14ac:dyDescent="0.5">
      <c r="A109" s="8">
        <v>108</v>
      </c>
      <c r="B109" s="12" t="s">
        <v>567</v>
      </c>
      <c r="C109" s="9" t="s">
        <v>568</v>
      </c>
    </row>
    <row r="110" spans="1:3" ht="15.6" x14ac:dyDescent="0.5">
      <c r="A110" s="8">
        <v>109</v>
      </c>
      <c r="B110" s="12" t="s">
        <v>947</v>
      </c>
      <c r="C110" s="9" t="s">
        <v>948</v>
      </c>
    </row>
    <row r="111" spans="1:3" ht="15.6" x14ac:dyDescent="0.5">
      <c r="A111" s="8">
        <v>110</v>
      </c>
      <c r="B111" s="12" t="s">
        <v>770</v>
      </c>
      <c r="C111" s="9" t="s">
        <v>771</v>
      </c>
    </row>
    <row r="112" spans="1:3" ht="15.6" x14ac:dyDescent="0.5">
      <c r="A112" s="8">
        <v>111</v>
      </c>
      <c r="B112" s="12" t="s">
        <v>673</v>
      </c>
      <c r="C112" s="9" t="s">
        <v>538</v>
      </c>
    </row>
    <row r="113" spans="1:3" ht="15.6" x14ac:dyDescent="0.5">
      <c r="A113" s="8">
        <v>112</v>
      </c>
      <c r="B113" s="12" t="s">
        <v>892</v>
      </c>
      <c r="C113" s="9" t="s">
        <v>893</v>
      </c>
    </row>
    <row r="114" spans="1:3" ht="15.6" x14ac:dyDescent="0.5">
      <c r="A114" s="8">
        <v>113</v>
      </c>
      <c r="B114" s="12" t="s">
        <v>448</v>
      </c>
      <c r="C114" s="9" t="s">
        <v>449</v>
      </c>
    </row>
    <row r="115" spans="1:3" ht="15.6" x14ac:dyDescent="0.5">
      <c r="A115" s="8">
        <v>114</v>
      </c>
      <c r="B115" s="12" t="s">
        <v>404</v>
      </c>
      <c r="C115" s="9" t="s">
        <v>405</v>
      </c>
    </row>
    <row r="116" spans="1:3" ht="15.6" x14ac:dyDescent="0.5">
      <c r="A116" s="8">
        <v>115</v>
      </c>
      <c r="B116" s="12" t="s">
        <v>388</v>
      </c>
      <c r="C116" s="9" t="s">
        <v>389</v>
      </c>
    </row>
    <row r="117" spans="1:3" ht="15.6" x14ac:dyDescent="0.5">
      <c r="A117" s="8">
        <v>116</v>
      </c>
      <c r="B117" s="12" t="s">
        <v>713</v>
      </c>
      <c r="C117" s="9" t="s">
        <v>714</v>
      </c>
    </row>
    <row r="118" spans="1:3" ht="15.6" x14ac:dyDescent="0.5">
      <c r="A118" s="8">
        <v>117</v>
      </c>
      <c r="B118" s="12" t="s">
        <v>157</v>
      </c>
      <c r="C118" s="9" t="s">
        <v>158</v>
      </c>
    </row>
    <row r="119" spans="1:3" ht="15.6" x14ac:dyDescent="0.5">
      <c r="A119" s="8">
        <v>118</v>
      </c>
      <c r="B119" s="12" t="s">
        <v>609</v>
      </c>
      <c r="C119" s="9" t="s">
        <v>610</v>
      </c>
    </row>
    <row r="120" spans="1:3" ht="15.6" x14ac:dyDescent="0.5">
      <c r="A120" s="8">
        <v>119</v>
      </c>
      <c r="B120" s="12" t="s">
        <v>748</v>
      </c>
      <c r="C120" s="9" t="s">
        <v>749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Input_Data</vt:lpstr>
      <vt:lpstr>Line_Details</vt:lpstr>
      <vt:lpstr>Workstation_Allocation</vt:lpstr>
      <vt:lpstr>Allocation_Graph</vt:lpstr>
      <vt:lpstr>Output</vt:lpstr>
      <vt:lpstr>Example_1</vt:lpstr>
      <vt:lpstr>Example_1_Alt</vt:lpstr>
      <vt:lpstr>Example_2</vt:lpstr>
      <vt:lpstr>Example_3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Karthik Kuram</cp:lastModifiedBy>
  <dcterms:created xsi:type="dcterms:W3CDTF">2021-04-20T07:31:22Z</dcterms:created>
  <dcterms:modified xsi:type="dcterms:W3CDTF">2021-05-13T18:51:01Z</dcterms:modified>
</cp:coreProperties>
</file>